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ceed96441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fba73d15ccea4d2b"/>
    <x:sheet xmlns:r="http://schemas.openxmlformats.org/officeDocument/2006/relationships" name="Premissas" sheetId="2" r:id="Re69cbfe2d9ba42ce"/>
    <x:sheet xmlns:r="http://schemas.openxmlformats.org/officeDocument/2006/relationships" name="CAPEX" sheetId="3" r:id="R2d353419a857434b"/>
    <x:sheet xmlns:r="http://schemas.openxmlformats.org/officeDocument/2006/relationships" name="OPEX" sheetId="4" r:id="R6c670dce7a534cfc"/>
    <x:sheet xmlns:r="http://schemas.openxmlformats.org/officeDocument/2006/relationships" name="Demanda" sheetId="5" r:id="R5711fd10aef149b5"/>
    <x:sheet xmlns:r="http://schemas.openxmlformats.org/officeDocument/2006/relationships" name="Resumo" sheetId="6" r:id="R9591ee1a241a4887"/>
    <x:sheet xmlns:r="http://schemas.openxmlformats.org/officeDocument/2006/relationships" name="Fluxo 12m" sheetId="7" r:id="Rcad2a0f4f277428d"/>
    <x:sheet xmlns:r="http://schemas.openxmlformats.org/officeDocument/2006/relationships" name="Decisão" sheetId="8" r:id="R3ad8bdc468a742a2"/>
    <x:sheet xmlns:r="http://schemas.openxmlformats.org/officeDocument/2006/relationships" name="Fontes" sheetId="9" r:id="Rec132c10eb27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R$ #,##0;[Red](R$ #,##0);-"/>
    <x:numFmt numFmtId="202" formatCode="yyyy-mm-dd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9324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  <x:font>
      <x:b/>
      <x:sz val="11"/>
      <x:color rgb="FF8A1C1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E8F0F7"/>
      </x:patternFill>
    </x:fill>
    <x:fill>
      <x:patternFill patternType="solid">
        <x:fgColor rgb="FFFFFFFF"/>
      </x:patternFill>
    </x:fill>
    <x:fill>
      <x:patternFill patternType="solid">
        <x:fgColor rgb="FF2F6F68"/>
      </x:patternFill>
    </x:fill>
    <x:fill>
      <x:patternFill patternType="solid">
        <x:fgColor rgb="FFFFF3BF"/>
      </x:patternFill>
    </x:fill>
    <x:fill>
      <x:patternFill patternType="solid">
        <x:fgColor rgb="FFFCE8E6"/>
      </x:patternFill>
    </x:fill>
  </x:fills>
  <x:borders count="2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D14343"/>
      </x:left>
      <x:top style="thin">
        <x:color rgb="FFD14343"/>
      </x:top>
      <x:bottom style="thin">
        <x:color rgb="FFD14343"/>
      </x:bottom>
    </x:border>
    <x:border>
      <x:top style="thin">
        <x:color rgb="FFD14343"/>
      </x:top>
      <x:bottom style="thin">
        <x:color rgb="FFD14343"/>
      </x:bottom>
    </x:border>
    <x:border>
      <x:right style="thin">
        <x:color rgb="FFD14343"/>
      </x:right>
      <x:top style="thin">
        <x:color rgb="FFD14343"/>
      </x:top>
      <x:bottom style="thin">
        <x:color rgb="FFD14343"/>
      </x:bottom>
    </x:border>
    <x:border>
      <x:left style="thin">
        <x:color rgb="FFCBD5E1"/>
      </x:left>
      <x:right style="thin">
        <x:color rgb="FFCBD5E1"/>
      </x:right>
    </x:border>
    <x:border>
      <x:bottom style="double">
        <x:color rgb="FF19324D"/>
      </x:bottom>
    </x:border>
    <x:border>
      <x:left style="medium">
        <x:color rgb="FF19324D"/>
      </x:left>
      <x:top style="medium">
        <x:color rgb="FF19324D"/>
      </x:top>
      <x:bottom style="medium">
        <x:color rgb="FF19324D"/>
      </x:bottom>
    </x:border>
    <x:border>
      <x:top style="medium">
        <x:color rgb="FF19324D"/>
      </x:top>
      <x:bottom style="medium">
        <x:color rgb="FF19324D"/>
      </x:bottom>
    </x:border>
    <x:border>
      <x:right style="medium">
        <x:color rgb="FF19324D"/>
      </x:right>
      <x:top style="medium">
        <x:color rgb="FF19324D"/>
      </x:top>
      <x:bottom style="medium">
        <x:color rgb="FF19324D"/>
      </x:bottom>
    </x:border>
  </x:borders>
  <x:cellStyleXfs count="1">
    <x:xf numFmtId="0" fontId="0" fillId="0" borderId="0"/>
  </x:cellStyleXfs>
  <x:cellXfs count="2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9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vertical="center" wrapText="1"/>
    </x:xf>
    <x:xf numFmtId="0" fontId="3" fillId="5" borderId="10" xfId="0" applyNumberFormat="1" applyFont="1" applyFill="1" applyBorder="1" applyAlignment="1">
      <x:alignment vertical="center" wrapText="1"/>
    </x:xf>
    <x:xf numFmtId="0" fontId="3" fillId="5" borderId="11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12" xfId="0" applyNumberFormat="1" applyFont="1" applyFill="1" applyBorder="1"/>
    <x:xf numFmtId="0" fontId="0" fillId="0" borderId="6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0" borderId="9" xfId="0" applyNumberFormat="1" applyFont="1" applyFill="1" applyBorder="1"/>
    <x:xf numFmtId="0" fontId="0" fillId="0" borderId="3" xfId="0" applyNumberFormat="1" applyFont="1" applyFill="1" applyBorder="1"/>
    <x:xf numFmtId="0" fontId="0" fillId="0" borderId="14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/>
    <x:xf numFmtId="0" fontId="4" fillId="0" borderId="11" xfId="0" applyNumberFormat="1" applyFont="1" applyFill="1" applyBorder="1"/>
    <x:xf numFmtId="0" fontId="4" fillId="0" borderId="3" xfId="0" applyNumberFormat="1" applyFont="1" applyFill="1" applyBorder="1"/>
    <x:xf numFmtId="0" fontId="4" fillId="6" borderId="8" xfId="0" applyNumberFormat="1" applyFont="1" applyFill="1" applyBorder="1"/>
    <x:xf numFmtId="0" fontId="0" fillId="6" borderId="6" xfId="0" applyNumberFormat="1" applyFont="1" applyFill="1" applyBorder="1" applyAlignment="1">
      <x:alignment wrapText="1"/>
    </x:xf>
    <x:xf numFmtId="0" fontId="5" fillId="6" borderId="8" xfId="0" applyNumberFormat="1" applyFont="1" applyFill="1" applyBorder="1"/>
    <x:xf numFmtId="0" fontId="6" fillId="6" borderId="6" xfId="0" applyNumberFormat="1" applyFont="1" applyFill="1" applyBorder="1" applyAlignment="1">
      <x:alignment wrapText="1"/>
    </x:xf>
    <x:xf numFmtId="0" fontId="7" fillId="0" borderId="11" xfId="0" applyNumberFormat="1" applyFont="1" applyFill="1" applyBorder="1"/>
    <x:xf numFmtId="0" fontId="8" fillId="0" borderId="9" xfId="0" applyNumberFormat="1" applyFont="1" applyFill="1" applyBorder="1" applyAlignment="1">
      <x:alignment wrapText="1"/>
    </x:xf>
    <x:xf numFmtId="0" fontId="9" fillId="0" borderId="11" xfId="0" applyNumberFormat="1" applyFont="1" applyFill="1" applyBorder="1"/>
    <x:xf numFmtId="0" fontId="10" fillId="0" borderId="9" xfId="0" applyNumberFormat="1" applyFont="1" applyFill="1" applyBorder="1" applyAlignment="1">
      <x:alignment wrapText="1"/>
    </x:xf>
    <x:xf numFmtId="0" fontId="4" fillId="7" borderId="3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15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5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1" fillId="7" borderId="15" xfId="0" applyNumberFormat="1" applyFont="1" applyFill="1" applyBorder="1" applyAlignment="1">
      <x:alignment vertical="center" wrapText="1"/>
    </x:xf>
    <x:xf numFmtId="0" fontId="11" fillId="7" borderId="16" xfId="0" applyNumberFormat="1" applyFont="1" applyFill="1" applyBorder="1" applyAlignment="1">
      <x:alignment vertical="center" wrapText="1"/>
    </x:xf>
    <x:xf numFmtId="0" fontId="11" fillId="7" borderId="1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14" xfId="0" applyNumberFormat="1" applyFont="1" applyFill="1" applyBorder="1"/>
    <x:xf numFmtId="0" fontId="6" fillId="6" borderId="18" xfId="0" applyNumberFormat="1" applyFont="1" applyFill="1" applyBorder="1"/>
    <x:xf numFmtId="0" fontId="6" fillId="6" borderId="12" xfId="0" applyNumberFormat="1" applyFont="1" applyFill="1" applyBorder="1"/>
    <x:xf numFmtId="0" fontId="6" fillId="6" borderId="14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200" fontId="6" fillId="6" borderId="4" xfId="0" applyNumberFormat="1" applyFont="1" applyFill="1" applyBorder="1" applyAlignment="1">
      <x:alignment wrapText="1"/>
    </x:xf>
    <x:xf numFmtId="200" fontId="6" fillId="6" borderId="0" xfId="0" applyNumberFormat="1" applyFont="1" applyFill="1" applyBorder="1" applyAlignment="1">
      <x:alignment wrapText="1"/>
    </x:xf>
    <x:xf numFmtId="200" fontId="6" fillId="6" borderId="5" xfId="0" applyNumberFormat="1" applyFont="1" applyFill="1" applyBorder="1" applyAlignment="1">
      <x:alignment wrapText="1"/>
    </x:xf>
    <x:xf numFmtId="201" fontId="6" fillId="6" borderId="4" xfId="0" applyNumberFormat="1" applyFont="1" applyFill="1" applyBorder="1" applyAlignment="1">
      <x:alignment wrapText="1"/>
    </x:xf>
    <x:xf numFmtId="201" fontId="6" fillId="6" borderId="0" xfId="0" applyNumberFormat="1" applyFont="1" applyFill="1" applyBorder="1" applyAlignment="1">
      <x:alignment wrapText="1"/>
    </x:xf>
    <x:xf numFmtId="201" fontId="6" fillId="6" borderId="5" xfId="0" applyNumberFormat="1" applyFont="1" applyFill="1" applyBorder="1" applyAlignment="1">
      <x:alignment wrapText="1"/>
    </x:xf>
    <x:xf numFmtId="200" fontId="6" fillId="6" borderId="6" xfId="0" applyNumberFormat="1" applyFont="1" applyFill="1" applyBorder="1" applyAlignment="1">
      <x:alignment wrapText="1"/>
    </x:xf>
    <x:xf numFmtId="200" fontId="6" fillId="6" borderId="7" xfId="0" applyNumberFormat="1" applyFont="1" applyFill="1" applyBorder="1" applyAlignment="1">
      <x:alignment wrapText="1"/>
    </x:xf>
    <x:xf numFmtId="200" fontId="6" fillId="6" borderId="8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200" fontId="6" fillId="6" borderId="13" xfId="0" applyNumberFormat="1" applyFont="1" applyFill="1" applyBorder="1" applyAlignment="1">
      <x:alignment wrapText="1"/>
    </x:xf>
    <x:xf numFmtId="201" fontId="6" fillId="6" borderId="1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6" fillId="6" borderId="14" xfId="0" applyNumberFormat="1" applyFont="1" applyFill="1" applyBorder="1" applyAlignment="1">
      <x:alignment wrapText="1"/>
    </x:xf>
    <x:xf numFmtId="201" fontId="6" fillId="6" borderId="1" xfId="0" applyNumberFormat="1" applyFont="1" applyFill="1" applyBorder="1" applyAlignment="1">
      <x:alignment wrapText="1"/>
    </x:xf>
    <x:xf numFmtId="201" fontId="6" fillId="6" borderId="2" xfId="0" applyNumberFormat="1" applyFont="1" applyFill="1" applyBorder="1" applyAlignment="1">
      <x:alignment wrapText="1"/>
    </x:xf>
    <x:xf numFmtId="201" fontId="6" fillId="6" borderId="3" xfId="0" applyNumberFormat="1" applyFont="1" applyFill="1" applyBorder="1" applyAlignment="1">
      <x:alignment wrapText="1"/>
    </x:xf>
    <x:xf numFmtId="201" fontId="6" fillId="6" borderId="6" xfId="0" applyNumberFormat="1" applyFont="1" applyFill="1" applyBorder="1" applyAlignment="1">
      <x:alignment wrapText="1"/>
    </x:xf>
    <x:xf numFmtId="201" fontId="6" fillId="6" borderId="7" xfId="0" applyNumberFormat="1" applyFont="1" applyFill="1" applyBorder="1" applyAlignment="1">
      <x:alignment wrapText="1"/>
    </x:xf>
    <x:xf numFmtId="201" fontId="6" fillId="6" borderId="8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9" xfId="0" applyNumberFormat="1" applyFont="1" applyFill="1" applyBorder="1"/>
    <x:xf numFmtId="201" fontId="4" fillId="3" borderId="19" xfId="0" applyNumberFormat="1" applyFont="1" applyFill="1" applyBorder="1"/>
    <x:xf numFmtId="0" fontId="4" fillId="3" borderId="19" xfId="0" applyNumberFormat="1" applyFont="1" applyFill="1" applyBorder="1" applyAlignment="1">
      <x:alignment wrapText="1"/>
    </x:xf>
    <x:xf numFmtId="201" fontId="4" fillId="3" borderId="19" xfId="0" applyNumberFormat="1" applyFont="1" applyFill="1" applyBorder="1" applyAlignment="1">
      <x:alignment wrapText="1"/>
    </x:xf>
    <x:xf numFmtId="201" fontId="6" fillId="6" borderId="1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201" fontId="4" fillId="3" borderId="14" xfId="0" applyNumberFormat="1" applyFont="1" applyFill="1" applyBorder="1" applyAlignment="1">
      <x:alignment wrapText="1"/>
    </x:xf>
    <x:xf numFmtId="202" fontId="6" fillId="6" borderId="2" xfId="0" applyNumberFormat="1" applyFont="1" applyFill="1" applyBorder="1" applyAlignment="1">
      <x:alignment wrapText="1"/>
    </x:xf>
    <x:xf numFmtId="202" fontId="6" fillId="6" borderId="0" xfId="0" applyNumberFormat="1" applyFont="1" applyFill="1" applyBorder="1" applyAlignment="1">
      <x:alignment wrapText="1"/>
    </x:xf>
    <x:xf numFmtId="202" fontId="6" fillId="6" borderId="7" xfId="0" applyNumberFormat="1" applyFont="1" applyFill="1" applyBorder="1" applyAlignment="1">
      <x:alignment wrapText="1"/>
    </x:xf>
    <x:xf numFmtId="202" fontId="6" fillId="6" borderId="12" xfId="0" applyNumberFormat="1" applyFont="1" applyFill="1" applyBorder="1" applyAlignment="1">
      <x:alignment wrapText="1"/>
    </x:xf>
    <x:xf numFmtId="202" fontId="6" fillId="6" borderId="13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1" fontId="8" fillId="0" borderId="2" xfId="0" applyNumberFormat="1" applyFont="1" applyFill="1" applyBorder="1"/>
    <x:xf numFmtId="201" fontId="8" fillId="0" borderId="3" xfId="0" applyNumberFormat="1" applyFont="1" applyFill="1" applyBorder="1"/>
    <x:xf numFmtId="201" fontId="8" fillId="0" borderId="4" xfId="0" applyNumberFormat="1" applyFont="1" applyFill="1" applyBorder="1"/>
    <x:xf numFmtId="201" fontId="8" fillId="0" borderId="5" xfId="0" applyNumberFormat="1" applyFont="1" applyFill="1" applyBorder="1"/>
    <x:xf numFmtId="201" fontId="8" fillId="0" borderId="6" xfId="0" applyNumberFormat="1" applyFont="1" applyFill="1" applyBorder="1"/>
    <x:xf numFmtId="201" fontId="8" fillId="0" borderId="7" xfId="0" applyNumberFormat="1" applyFont="1" applyFill="1" applyBorder="1"/>
    <x:xf numFmtId="201" fontId="8" fillId="0" borderId="8" xfId="0" applyNumberFormat="1" applyFont="1" applyFill="1" applyBorder="1"/>
    <x:xf numFmtId="201" fontId="8" fillId="0" borderId="1" xfId="0" applyNumberFormat="1" applyFont="1" applyFill="1" applyBorder="1" applyAlignment="1">
      <x:alignment wrapText="1"/>
    </x:xf>
    <x:xf numFmtId="201" fontId="8" fillId="0" borderId="2" xfId="0" applyNumberFormat="1" applyFont="1" applyFill="1" applyBorder="1" applyAlignment="1">
      <x:alignment wrapText="1"/>
    </x:xf>
    <x:xf numFmtId="201" fontId="8" fillId="0" borderId="3" xfId="0" applyNumberFormat="1" applyFont="1" applyFill="1" applyBorder="1" applyAlignment="1">
      <x:alignment wrapText="1"/>
    </x:xf>
    <x:xf numFmtId="201" fontId="8" fillId="0" borderId="4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201" fontId="8" fillId="0" borderId="5" xfId="0" applyNumberFormat="1" applyFont="1" applyFill="1" applyBorder="1" applyAlignment="1">
      <x:alignment wrapText="1"/>
    </x:xf>
    <x:xf numFmtId="201" fontId="8" fillId="0" borderId="6" xfId="0" applyNumberFormat="1" applyFont="1" applyFill="1" applyBorder="1" applyAlignment="1">
      <x:alignment wrapText="1"/>
    </x:xf>
    <x:xf numFmtId="201" fontId="8" fillId="0" borderId="7" xfId="0" applyNumberFormat="1" applyFont="1" applyFill="1" applyBorder="1" applyAlignment="1">
      <x:alignment wrapText="1"/>
    </x:xf>
    <x:xf numFmtId="201" fontId="8" fillId="0" borderId="8" xfId="0" applyNumberFormat="1" applyFont="1" applyFill="1" applyBorder="1" applyAlignment="1">
      <x:alignment wrapText="1"/>
    </x:xf>
    <x:xf numFmtId="201" fontId="8" fillId="0" borderId="13" xfId="0" applyNumberFormat="1" applyFont="1" applyFill="1" applyBorder="1" applyAlignment="1">
      <x:alignment wrapText="1"/>
    </x:xf>
    <x:xf numFmtId="201" fontId="8" fillId="0" borderId="9" xfId="0" applyNumberFormat="1" applyFont="1" applyFill="1" applyBorder="1" applyAlignment="1">
      <x:alignment wrapText="1"/>
    </x:xf>
    <x:xf numFmtId="201" fontId="4" fillId="3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200" fontId="8" fillId="0" borderId="4" xfId="0" applyNumberFormat="1" applyFont="1" applyFill="1" applyBorder="1"/>
    <x:xf numFmtId="200" fontId="8" fillId="0" borderId="0" xfId="0" applyNumberFormat="1" applyFont="1" applyFill="1" applyBorder="1"/>
    <x:xf numFmtId="200" fontId="8" fillId="0" borderId="5" xfId="0" applyNumberFormat="1" applyFont="1" applyFill="1" applyBorder="1"/>
    <x:xf numFmtId="201" fontId="10" fillId="0" borderId="1" xfId="0" applyNumberFormat="1" applyFont="1" applyFill="1" applyBorder="1"/>
    <x:xf numFmtId="201" fontId="10" fillId="0" borderId="2" xfId="0" applyNumberFormat="1" applyFont="1" applyFill="1" applyBorder="1"/>
    <x:xf numFmtId="201" fontId="10" fillId="0" borderId="3" xfId="0" applyNumberFormat="1" applyFont="1" applyFill="1" applyBorder="1"/>
    <x:xf numFmtId="201" fontId="10" fillId="0" borderId="4" xfId="0" applyNumberFormat="1" applyFont="1" applyFill="1" applyBorder="1"/>
    <x:xf numFmtId="201" fontId="10" fillId="0" borderId="0" xfId="0" applyNumberFormat="1" applyFont="1" applyFill="1" applyBorder="1"/>
    <x:xf numFmtId="201" fontId="10" fillId="0" borderId="5" xfId="0" applyNumberFormat="1" applyFont="1" applyFill="1" applyBorder="1"/>
    <x:xf numFmtId="200" fontId="10" fillId="0" borderId="4" xfId="0" applyNumberFormat="1" applyFont="1" applyFill="1" applyBorder="1"/>
    <x:xf numFmtId="200" fontId="10" fillId="0" borderId="0" xfId="0" applyNumberFormat="1" applyFont="1" applyFill="1" applyBorder="1"/>
    <x:xf numFmtId="200" fontId="10" fillId="0" borderId="5" xfId="0" applyNumberFormat="1" applyFont="1" applyFill="1" applyBorder="1"/>
    <x:xf numFmtId="201" fontId="10" fillId="0" borderId="6" xfId="0" applyNumberFormat="1" applyFont="1" applyFill="1" applyBorder="1"/>
    <x:xf numFmtId="201" fontId="10" fillId="0" borderId="7" xfId="0" applyNumberFormat="1" applyFont="1" applyFill="1" applyBorder="1"/>
    <x:xf numFmtId="201" fontId="10" fillId="0" borderId="8" xfId="0" applyNumberFormat="1" applyFont="1" applyFill="1" applyBorder="1"/>
    <x:xf numFmtId="201" fontId="10" fillId="0" borderId="12" xfId="0" applyNumberFormat="1" applyFont="1" applyFill="1" applyBorder="1"/>
    <x:xf numFmtId="201" fontId="10" fillId="0" borderId="13" xfId="0" applyNumberFormat="1" applyFont="1" applyFill="1" applyBorder="1"/>
    <x:xf numFmtId="200" fontId="10" fillId="0" borderId="13" xfId="0" applyNumberFormat="1" applyFont="1" applyFill="1" applyBorder="1"/>
    <x:xf numFmtId="201" fontId="10" fillId="0" borderId="14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200" fontId="6" fillId="6" borderId="9" xfId="0" applyNumberFormat="1" applyFont="1" applyFill="1" applyBorder="1" applyAlignment="1">
      <x:alignment wrapText="1"/>
    </x:xf>
    <x:xf numFmtId="200" fontId="6" fillId="6" borderId="10" xfId="0" applyNumberFormat="1" applyFont="1" applyFill="1" applyBorder="1" applyAlignment="1">
      <x:alignment wrapText="1"/>
    </x:xf>
    <x:xf numFmtId="200" fontId="6" fillId="6" borderId="11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/>
    <x:xf numFmtId="201" fontId="10" fillId="0" borderId="9" xfId="0" applyNumberFormat="1" applyFont="1" applyFill="1" applyBorder="1"/>
    <x:xf numFmtId="202" fontId="6" fillId="6" borderId="3" xfId="0" applyNumberFormat="1" applyFont="1" applyFill="1" applyBorder="1" applyAlignment="1">
      <x:alignment wrapText="1"/>
    </x:xf>
    <x:xf numFmtId="202" fontId="6" fillId="6" borderId="5" xfId="0" applyNumberFormat="1" applyFont="1" applyFill="1" applyBorder="1" applyAlignment="1">
      <x:alignment wrapText="1"/>
    </x:xf>
    <x:xf numFmtId="202" fontId="6" fillId="6" borderId="8" xfId="0" applyNumberFormat="1" applyFont="1" applyFill="1" applyBorder="1" applyAlignment="1">
      <x:alignment wrapText="1"/>
    </x:xf>
    <x:xf numFmtId="202" fontId="6" fillId="6" borderId="6" xfId="0" applyNumberFormat="1" applyFont="1" applyFill="1" applyBorder="1" applyAlignment="1">
      <x:alignment wrapText="1"/>
    </x:xf>
    <x:xf numFmtId="202" fontId="6" fillId="6" borderId="9" xfId="0" applyNumberFormat="1" applyFont="1" applyFill="1" applyBorder="1" applyAlignment="1">
      <x:alignment wrapText="1"/>
    </x:xf>
    <x:xf numFmtId="202" fontId="6" fillId="6" borderId="14" xfId="0" applyNumberFormat="1" applyFont="1" applyFill="1" applyBorder="1" applyAlignment="1">
      <x:alignment wrapText="1"/>
    </x:xf>
    <x:xf numFmtId="202" fontId="6" fillId="6" borderId="1" xfId="0" applyNumberFormat="1" applyFont="1" applyFill="1" applyBorder="1" applyAlignment="1">
      <x:alignment wrapText="1"/>
    </x:xf>
    <x:xf numFmtId="0" fontId="4" fillId="3" borderId="20" xfId="0" applyNumberFormat="1" applyFont="1" applyFill="1" applyBorder="1"/>
    <x:xf numFmtId="0" fontId="4" fillId="3" borderId="21" xfId="0" applyNumberFormat="1" applyFont="1" applyFill="1" applyBorder="1"/>
    <x:xf numFmtId="0" fontId="4" fillId="3" borderId="2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1872e667040da" /><Relationship Type="http://schemas.openxmlformats.org/officeDocument/2006/relationships/theme" Target="/xl/theme/theme1.xml" Id="R4977a23e44f949c6" /><Relationship Type="http://schemas.openxmlformats.org/officeDocument/2006/relationships/sharedStrings" Target="/xl/sharedStrings.xml" Id="Ree5844d3fd4f43bc" /><Relationship Type="http://schemas.openxmlformats.org/officeDocument/2006/relationships/worksheet" Target="/xl/worksheets/sheet1.xml" Id="Rfba73d15ccea4d2b" /><Relationship Type="http://schemas.openxmlformats.org/officeDocument/2006/relationships/worksheet" Target="/xl/worksheets/sheet2.xml" Id="Re69cbfe2d9ba42ce" /><Relationship Type="http://schemas.openxmlformats.org/officeDocument/2006/relationships/worksheet" Target="/xl/worksheets/sheet3.xml" Id="R2d353419a857434b" /><Relationship Type="http://schemas.openxmlformats.org/officeDocument/2006/relationships/worksheet" Target="/xl/worksheets/sheet4.xml" Id="R6c670dce7a534cfc" /><Relationship Type="http://schemas.openxmlformats.org/officeDocument/2006/relationships/worksheet" Target="/xl/worksheets/sheet5.xml" Id="R5711fd10aef149b5" /><Relationship Type="http://schemas.openxmlformats.org/officeDocument/2006/relationships/worksheet" Target="/xl/worksheets/sheet6.xml" Id="R9591ee1a241a4887" /><Relationship Type="http://schemas.openxmlformats.org/officeDocument/2006/relationships/worksheet" Target="/xl/worksheets/sheet7.xml" Id="Rcad2a0f4f277428d" /><Relationship Type="http://schemas.openxmlformats.org/officeDocument/2006/relationships/worksheet" Target="/xl/worksheets/sheet8.xml" Id="R3ad8bdc468a742a2" /><Relationship Type="http://schemas.openxmlformats.org/officeDocument/2006/relationships/worksheet" Target="/xl/worksheets/sheet9.xml" Id="Rec132c10eb274088" /><Relationship Type="http://schemas.microsoft.com/office/2017/10/relationships/person" Target="/xl/persons/person.xml" Id="R10fcad920ca4425b" /></Relationships>
</file>

<file path=xl/persons/person.xml><?xml version="1.0" encoding="utf-8"?>
<xltc:personList xmlns:xltc="http://schemas.microsoft.com/office/spreadsheetml/2018/threadedcomments">
  <xltc:person displayName="Fabio Takwara" id="{CA258A6A-DFF7-4422-A516-CF083646D0C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58" hidden="0" customWidth="1"/>
    <x:col min="4" max="4" width="3" hidden="0" customWidth="1"/>
    <x:col min="5" max="5" width="24" hidden="0" customWidth="1"/>
    <x:col min="6" max="6" width="30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Modelo de viabilidade econômica e continuidade territorial</x:v>
      </x:c>
      <x:c r="B1" s="4" t="str">
        <x:v>Modelo de viabilidade econômica e continuidade territorial</x:v>
      </x:c>
      <x:c r="C1" s="4" t="str">
        <x:v>Modelo de viabilidade econômica e continuidade territorial</x:v>
      </x:c>
      <x:c r="D1" s="4" t="str">
        <x:v>Modelo de viabilidade econômica e continuidade territorial</x:v>
      </x:c>
      <x:c r="E1" s="4" t="str">
        <x:v>Modelo de viabilidade econômica e continuidade territorial</x:v>
      </x:c>
      <x:c r="F1" s="4" t="str">
        <x:v>Modelo de viabilidade econômica e continuidade territorial</x:v>
      </x:c>
      <x:c r="G1" s="4" t="str">
        <x:v>Modelo de viabilidade econômica e continuidade territorial</x:v>
      </x:c>
      <x:c r="H1" s="4" t="str">
        <x:v>Modelo de viabilidade econômica e continuidade territorial</x:v>
      </x:c>
    </x:row>
    <x:row r="2" ht="30" customHeight="1">
      <x:c r="A2" s="8" t="str">
        <x:v>Instrumento preenchível — versão 0.1 — Fabio Takwara — 22 jul. 2026</x:v>
      </x:c>
      <x:c r="B2" s="8" t="str">
        <x:v>Instrumento preenchível — versão 0.1 — Fabio Takwara — 22 jul. 2026</x:v>
      </x:c>
      <x:c r="C2" s="8" t="str">
        <x:v>Instrumento preenchível — versão 0.1 — Fabio Takwara — 22 jul. 2026</x:v>
      </x:c>
      <x:c r="D2" s="8" t="str">
        <x:v>Instrumento preenchível — versão 0.1 — Fabio Takwara — 22 jul. 2026</x:v>
      </x:c>
      <x:c r="E2" s="8" t="str">
        <x:v>Instrumento preenchível — versão 0.1 — Fabio Takwara — 22 jul. 2026</x:v>
      </x:c>
      <x:c r="F2" s="8" t="str">
        <x:v>Instrumento preenchível — versão 0.1 — Fabio Takwara — 22 jul. 2026</x:v>
      </x:c>
      <x:c r="G2" s="8" t="str">
        <x:v>Instrumento preenchível — versão 0.1 — Fabio Takwara — 22 jul. 2026</x:v>
      </x:c>
      <x:c r="H2" s="8" t="str">
        <x:v>Instrumento preenchível — versão 0.1 — Fabio Takwara — 22 jul. 2026</x:v>
      </x:c>
    </x:row>
    <x:row r="4">
      <x:c r="A4" s="10" t="str">
        <x:v>FINALIDADE</x:v>
      </x:c>
      <x:c r="B4" s="10" t="str">
        <x:v>FINALIDADE</x:v>
      </x:c>
      <x:c r="C4" s="10" t="str">
        <x:v>FINALIDADE</x:v>
      </x:c>
      <x:c r="D4" s="10" t="str">
        <x:v>FINALIDADE</x:v>
      </x:c>
      <x:c r="E4" s="10" t="str">
        <x:v>FINALIDADE</x:v>
      </x:c>
      <x:c r="F4" s="10" t="str">
        <x:v>FINALIDADE</x:v>
      </x:c>
      <x:c r="G4" s="10" t="str">
        <x:v>FINALIDADE</x:v>
      </x:c>
      <x:c r="H4" s="10" t="str">
        <x:v>FINALIDADE</x:v>
      </x:c>
    </x:row>
    <x:row r="5" ht="26" customHeight="1">
      <x:c r="A5" s="29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B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C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D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E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F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G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H5" s="31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</x:row>
    <x:row r="6" ht="26" customHeight="1">
      <x:c r="A6" s="32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B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C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D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E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F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G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H6" s="34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</x:row>
    <x:row r="7" ht="26" customHeight="1">
      <x:c r="A7" s="35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B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C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D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E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F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G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H7" s="37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</x:row>
    <x:row r="9">
      <x:c r="A9" s="10" t="str">
        <x:v>ORDEM DE PREENCHIMENTO</x:v>
      </x:c>
      <x:c r="B9" s="10" t="str">
        <x:v>ORDEM DE PREENCHIMENTO</x:v>
      </x:c>
      <x:c r="C9" s="10" t="str">
        <x:v>ORDEM DE PREENCHIMENTO</x:v>
      </x:c>
      <x:c r="D9" s="10" t="str">
        <x:v>ORDEM DE PREENCHIMENTO</x:v>
      </x:c>
      <x:c r="E9" s="10" t="str">
        <x:v>ORDEM DE PREENCHIMENTO</x:v>
      </x:c>
      <x:c r="F9" s="10" t="str">
        <x:v>ORDEM DE PREENCHIMENTO</x:v>
      </x:c>
      <x:c r="G9" s="10" t="str">
        <x:v>ORDEM DE PREENCHIMENTO</x:v>
      </x:c>
      <x:c r="H9" s="10" t="str">
        <x:v>ORDEM DE PREENCHIMENTO</x:v>
      </x:c>
    </x:row>
    <x:row r="10" ht="28" customHeight="1">
      <x:c r="A10" s="46" t="str">
        <x:v>Etapa</x:v>
      </x:c>
      <x:c r="B10" s="47" t="str">
        <x:v>Aba</x:v>
      </x:c>
      <x:c r="C10" s="48" t="str">
        <x:v>Ação</x:v>
      </x:c>
      <x:c r="E10" s="46" t="str">
        <x:v>LEGENDA</x:v>
      </x:c>
      <x:c r="F10" s="47" t="str">
        <x:v>LEGENDA</x:v>
      </x:c>
      <x:c r="G10" s="47" t="str">
        <x:v>LEGENDA</x:v>
      </x:c>
      <x:c r="H10" s="48" t="str">
        <x:v>LEGENDA</x:v>
      </x:c>
    </x:row>
    <x:row r="11">
      <x:c r="A11" s="67" t="str">
        <x:v>1</x:v>
      </x:c>
      <x:c r="B11" s="68" t="str">
        <x:v>Premissas</x:v>
      </x:c>
      <x:c r="C11" s="69" t="str">
        <x:v>Delimite território, produto, unidade funcional, estágio técnico e parâmetros dos três cenários.</x:v>
      </x:c>
      <x:c r="E11" s="83" t="str">
        <x:v>Entrada editável</x:v>
      </x:c>
      <x:c r="F11" s="84" t="str">
        <x:v>texto azul / fundo amarelo</x:v>
      </x:c>
    </x:row>
    <x:row r="12">
      <x:c r="A12" s="70" t="str">
        <x:v>2</x:v>
      </x:c>
      <x:c r="B12" s="71" t="str">
        <x:v>CAPEX</x:v>
      </x:c>
      <x:c r="C12" s="72" t="str">
        <x:v>Registre investimento completo, inclusive instalação, qualidade, segurança e encerramento.</x:v>
      </x:c>
      <x:c r="E12" s="85" t="str">
        <x:v>Fórmula</x:v>
      </x:c>
      <x:c r="F12" s="86" t="str">
        <x:v>texto preto</x:v>
      </x:c>
    </x:row>
    <x:row r="13">
      <x:c r="A13" s="70" t="str">
        <x:v>3</x:v>
      </x:c>
      <x:c r="B13" s="71" t="str">
        <x:v>OPEX</x:v>
      </x:c>
      <x:c r="C13" s="72" t="str">
        <x:v>Registre custos mensais indiretos/fixos e fontes. Custos diretos unitários ficam em Demanda.</x:v>
      </x:c>
      <x:c r="E13" s="87" t="str">
        <x:v>Referência entre abas</x:v>
      </x:c>
      <x:c r="F13" s="88" t="str">
        <x:v>texto verde</x:v>
      </x:c>
    </x:row>
    <x:row r="14">
      <x:c r="A14" s="70" t="str">
        <x:v>4</x:v>
      </x:c>
      <x:c r="B14" s="71" t="str">
        <x:v>Demanda</x:v>
      </x:c>
      <x:c r="C14" s="72" t="str">
        <x:v>Insira quantidade, preço e custo variável somente quando houver fundamento e condição de conformidade.</x:v>
      </x:c>
      <x:c r="E14" s="89" t="str">
        <x:v>Bloqueio ou lacuna</x:v>
      </x:c>
      <x:c r="F14" s="90" t="str">
        <x:v>fundo vermelho claro</x:v>
      </x:c>
    </x:row>
    <x:row r="15">
      <x:c r="A15" s="70" t="str">
        <x:v>5</x:v>
      </x:c>
      <x:c r="B15" s="71" t="str">
        <x:v>Fluxo 12m</x:v>
      </x:c>
      <x:c r="C15" s="72" t="str">
        <x:v>Preencha o fator mensal de operação; fórmulas projetam caixa sem esconder déficits.</x:v>
      </x:c>
    </x:row>
    <x:row r="16">
      <x:c r="A16" s="70" t="str">
        <x:v>6</x:v>
      </x:c>
      <x:c r="B16" s="71" t="str">
        <x:v>Decisão</x:v>
      </x:c>
      <x:c r="C16" s="72" t="str">
        <x:v>Documente evidências, responsáveis e portões atendidos, pendentes ou não atendidos.</x:v>
      </x:c>
    </x:row>
    <x:row r="17">
      <x:c r="A17" s="73" t="str">
        <x:v>7</x:v>
      </x:c>
      <x:c r="B17" s="74" t="str">
        <x:v>Fontes</x:v>
      </x:c>
      <x:c r="C17" s="75" t="str">
        <x:v>Cadastre cotações, medições, contratos, chamadas e datas-base.</x:v>
      </x:c>
    </x:row>
    <x:row r="20" ht="50" customHeight="1">
      <x:c r="A20" s="99" t="str">
        <x:v>AVISO: este modelo não é recomendação financeira, orçamento de obra, parecer contábil, autorização de endividamento ou validação técnica. Toda entrada deve indicar fonte e data-base.</x:v>
      </x:c>
      <x:c r="B20" s="100" t="str">
        <x:v>AVISO: este modelo não é recomendação financeira, orçamento de obra, parecer contábil, autorização de endividamento ou validação técnica. Toda entrada deve indicar fonte e data-base.</x:v>
      </x:c>
      <x:c r="C20" s="100" t="str">
        <x:v>AVISO: este modelo não é recomendação financeira, orçamento de obra, parecer contábil, autorização de endividamento ou validação técnica. Toda entrada deve indicar fonte e data-base.</x:v>
      </x:c>
      <x:c r="D20" s="100" t="str">
        <x:v>AVISO: este modelo não é recomendação financeira, orçamento de obra, parecer contábil, autorização de endividamento ou validação técnica. Toda entrada deve indicar fonte e data-base.</x:v>
      </x:c>
      <x:c r="E20" s="100" t="str">
        <x:v>AVISO: este modelo não é recomendação financeira, orçamento de obra, parecer contábil, autorização de endividamento ou validação técnica. Toda entrada deve indicar fonte e data-base.</x:v>
      </x:c>
      <x:c r="F20" s="100" t="str">
        <x:v>AVISO: este modelo não é recomendação financeira, orçamento de obra, parecer contábil, autorização de endividamento ou validação técnica. Toda entrada deve indicar fonte e data-base.</x:v>
      </x:c>
      <x:c r="G20" s="100" t="str">
        <x:v>AVISO: este modelo não é recomendação financeira, orçamento de obra, parecer contábil, autorização de endividamento ou validação técnica. Toda entrada deve indicar fonte e data-base.</x:v>
      </x:c>
      <x:c r="H20" s="101" t="str">
        <x:v>AVISO: este modelo não é recomendação financeira, orçamento de obra, parecer contábil, autorização de endividamento ou validação técnica. Toda entrada deve indicar fonte e data-base.</x:v>
      </x:c>
    </x:row>
  </x:sheetData>
  <x:mergeCells>
    <x:mergeCell ref="A1:H1"/>
    <x:mergeCell ref="A2:H2"/>
    <x:mergeCell ref="A4:H4"/>
    <x:mergeCell ref="A5:H7"/>
    <x:mergeCell ref="A9:H9"/>
    <x:mergeCell ref="E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2" hidden="0" customWidth="1"/>
    <x:col min="5" max="5" width="16" hidden="0" customWidth="1"/>
    <x:col min="6" max="6" width="48" hidden="0" customWidth="1"/>
  </x:cols>
  <x:sheetData>
    <x:row r="1" ht="34" customHeight="1">
      <x:c r="A1" s="4" t="str">
        <x:v>Premissas e cenários</x:v>
      </x:c>
      <x:c r="B1" s="4" t="str">
        <x:v>Premissas e cenários</x:v>
      </x:c>
      <x:c r="C1" s="4" t="str">
        <x:v>Premissas e cenários</x:v>
      </x:c>
      <x:c r="D1" s="4" t="str">
        <x:v>Premissas e cenários</x:v>
      </x:c>
      <x:c r="E1" s="4" t="str">
        <x:v>Premissas e cenários</x:v>
      </x:c>
      <x:c r="F1" s="4" t="str">
        <x:v>Premissas e cenários</x:v>
      </x:c>
    </x:row>
    <x:row r="2" ht="30" customHeight="1">
      <x:c r="A2" s="8" t="str">
        <x:v>Preencha somente valores sustentados por fonte, medição ou hipótese explicitamente identificada.</x:v>
      </x:c>
      <x:c r="B2" s="8" t="str">
        <x:v>Preencha somente valores sustentados por fonte, medição ou hipótese explicitamente identificada.</x:v>
      </x:c>
      <x:c r="C2" s="8" t="str">
        <x:v>Preencha somente valores sustentados por fonte, medição ou hipótese explicitamente identificada.</x:v>
      </x:c>
      <x:c r="D2" s="8" t="str">
        <x:v>Preencha somente valores sustentados por fonte, medição ou hipótese explicitamente identificada.</x:v>
      </x:c>
      <x:c r="E2" s="8" t="str">
        <x:v>Preencha somente valores sustentados por fonte, medição ou hipótese explicitamente identificada.</x:v>
      </x:c>
      <x:c r="F2" s="8" t="str">
        <x:v>Preencha somente valores sustentados por fonte, medição ou hipótese explicitamente identificada.</x:v>
      </x:c>
    </x:row>
    <x:row r="4" ht="28" customHeight="1">
      <x:c r="A4" s="46" t="str">
        <x:v>Variável</x:v>
      </x:c>
      <x:c r="B4" s="47" t="str">
        <x:v>Restritivo</x:v>
      </x:c>
      <x:c r="C4" s="47" t="str">
        <x:v>Base</x:v>
      </x:c>
      <x:c r="D4" s="47" t="str">
        <x:v>Expansão condicionada</x:v>
      </x:c>
      <x:c r="E4" s="47" t="str">
        <x:v>Unidade</x:v>
      </x:c>
      <x:c r="F4" s="48" t="str">
        <x:v>Fonte / nota</x:v>
      </x:c>
    </x:row>
    <x:row r="5">
      <x:c r="A5" s="136" t="str">
        <x:v>Projeto / unidade analisada</x:v>
      </x:c>
      <x:c r="B5" s="125"/>
      <x:c r="C5" s="125"/>
      <x:c r="D5" s="125"/>
      <x:c r="E5" s="59" t="str">
        <x:v>texto</x:v>
      </x:c>
      <x:c r="F5" s="84"/>
    </x:row>
    <x:row r="6">
      <x:c r="A6" s="137" t="str">
        <x:v>Território</x:v>
      </x:c>
      <x:c r="B6" s="138"/>
      <x:c r="C6" s="138"/>
      <x:c r="D6" s="138"/>
      <x:c r="E6" s="62" t="str">
        <x:v>texto</x:v>
      </x:c>
      <x:c r="F6" s="139"/>
    </x:row>
    <x:row r="7">
      <x:c r="A7" s="137" t="str">
        <x:v>Produto ou serviço</x:v>
      </x:c>
      <x:c r="B7" s="138"/>
      <x:c r="C7" s="138"/>
      <x:c r="D7" s="138"/>
      <x:c r="E7" s="62" t="str">
        <x:v>texto</x:v>
      </x:c>
      <x:c r="F7" s="139"/>
    </x:row>
    <x:row r="8">
      <x:c r="A8" s="137" t="str">
        <x:v>Unidade funcional</x:v>
      </x:c>
      <x:c r="B8" s="138"/>
      <x:c r="C8" s="138"/>
      <x:c r="D8" s="138"/>
      <x:c r="E8" s="62" t="str">
        <x:v>texto</x:v>
      </x:c>
      <x:c r="F8" s="139"/>
    </x:row>
    <x:row r="9">
      <x:c r="A9" s="137" t="str">
        <x:v>Estágio técnico</x:v>
      </x:c>
      <x:c r="B9" s="138"/>
      <x:c r="C9" s="138"/>
      <x:c r="D9" s="138"/>
      <x:c r="E9" s="62" t="str">
        <x:v>texto</x:v>
      </x:c>
      <x:c r="F9" s="139"/>
    </x:row>
    <x:row r="10">
      <x:c r="A10" s="137" t="str">
        <x:v>Capacidade nominal mensal</x:v>
      </x:c>
      <x:c r="B10" s="138"/>
      <x:c r="C10" s="138"/>
      <x:c r="D10" s="138"/>
      <x:c r="E10" s="62" t="str">
        <x:v>unid./mês</x:v>
      </x:c>
      <x:c r="F10" s="139"/>
    </x:row>
    <x:row r="11">
      <x:c r="A11" s="137" t="str">
        <x:v>Utilização da capacidade</x:v>
      </x:c>
      <x:c r="B11" s="140"/>
      <x:c r="C11" s="140"/>
      <x:c r="D11" s="140"/>
      <x:c r="E11" s="62" t="str">
        <x:v>%</x:v>
      </x:c>
      <x:c r="F11" s="139"/>
    </x:row>
    <x:row r="12">
      <x:c r="A12" s="137" t="str">
        <x:v>Rendimento aproveitável</x:v>
      </x:c>
      <x:c r="B12" s="140"/>
      <x:c r="C12" s="140"/>
      <x:c r="D12" s="140"/>
      <x:c r="E12" s="62" t="str">
        <x:v>%</x:v>
      </x:c>
      <x:c r="F12" s="139"/>
    </x:row>
    <x:row r="13">
      <x:c r="A13" s="137" t="str">
        <x:v>Estoque de matéria-prima</x:v>
      </x:c>
      <x:c r="B13" s="138"/>
      <x:c r="C13" s="138"/>
      <x:c r="D13" s="138"/>
      <x:c r="E13" s="62" t="str">
        <x:v>dias</x:v>
      </x:c>
      <x:c r="F13" s="139"/>
    </x:row>
    <x:row r="14">
      <x:c r="A14" s="137" t="str">
        <x:v>Processamento e liberação</x:v>
      </x:c>
      <x:c r="B14" s="138"/>
      <x:c r="C14" s="138"/>
      <x:c r="D14" s="138"/>
      <x:c r="E14" s="62" t="str">
        <x:v>dias</x:v>
      </x:c>
      <x:c r="F14" s="139"/>
    </x:row>
    <x:row r="15">
      <x:c r="A15" s="137" t="str">
        <x:v>Estoque de produto</x:v>
      </x:c>
      <x:c r="B15" s="138"/>
      <x:c r="C15" s="138"/>
      <x:c r="D15" s="138"/>
      <x:c r="E15" s="62" t="str">
        <x:v>dias</x:v>
      </x:c>
      <x:c r="F15" s="139"/>
    </x:row>
    <x:row r="16">
      <x:c r="A16" s="137" t="str">
        <x:v>Prazo de fornecedores</x:v>
      </x:c>
      <x:c r="B16" s="138"/>
      <x:c r="C16" s="138"/>
      <x:c r="D16" s="138"/>
      <x:c r="E16" s="62" t="str">
        <x:v>dias</x:v>
      </x:c>
      <x:c r="F16" s="139"/>
    </x:row>
    <x:row r="17">
      <x:c r="A17" s="137" t="str">
        <x:v>Prazo de recebimento</x:v>
      </x:c>
      <x:c r="B17" s="138"/>
      <x:c r="C17" s="138"/>
      <x:c r="D17" s="138"/>
      <x:c r="E17" s="62" t="str">
        <x:v>dias</x:v>
      </x:c>
      <x:c r="F17" s="139"/>
    </x:row>
    <x:row r="18">
      <x:c r="A18" s="137" t="str">
        <x:v>Caixa mínimo</x:v>
      </x:c>
      <x:c r="B18" s="141"/>
      <x:c r="C18" s="141"/>
      <x:c r="D18" s="141"/>
      <x:c r="E18" s="62" t="str">
        <x:v>R$</x:v>
      </x:c>
      <x:c r="F18" s="139"/>
    </x:row>
    <x:row r="19">
      <x:c r="A19" s="137" t="str">
        <x:v>Reserva mensal de manutenção</x:v>
      </x:c>
      <x:c r="B19" s="140"/>
      <x:c r="C19" s="140"/>
      <x:c r="D19" s="140"/>
      <x:c r="E19" s="62" t="str">
        <x:v>% do OPEX</x:v>
      </x:c>
      <x:c r="F19" s="139"/>
    </x:row>
    <x:row r="20">
      <x:c r="A20" s="137" t="str">
        <x:v>Serviço mensal da dívida</x:v>
      </x:c>
      <x:c r="B20" s="141"/>
      <x:c r="C20" s="141"/>
      <x:c r="D20" s="141"/>
      <x:c r="E20" s="62" t="str">
        <x:v>R$</x:v>
      </x:c>
      <x:c r="F20" s="139"/>
    </x:row>
    <x:row r="21">
      <x:c r="A21" s="137" t="str">
        <x:v>Subvenção/receita pública mensal</x:v>
      </x:c>
      <x:c r="B21" s="141"/>
      <x:c r="C21" s="141"/>
      <x:c r="D21" s="141"/>
      <x:c r="E21" s="62" t="str">
        <x:v>R$</x:v>
      </x:c>
      <x:c r="F21" s="139"/>
    </x:row>
    <x:row r="22">
      <x:c r="A22" s="142" t="str">
        <x:v>Parcela de custos retida no território</x:v>
      </x:c>
      <x:c r="B22" s="143"/>
      <x:c r="C22" s="143"/>
      <x:c r="D22" s="143"/>
      <x:c r="E22" s="65" t="str">
        <x:v>%</x:v>
      </x:c>
      <x:c r="F22" s="112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42" hidden="0" customWidth="1"/>
  </x:cols>
  <x:sheetData>
    <x:row r="1" ht="34" customHeight="1">
      <x:c r="A1" s="4" t="str">
        <x:v>Investimento inicial — CAPEX</x:v>
      </x:c>
      <x:c r="B1" s="4" t="str">
        <x:v>Investimento inicial — CAPEX</x:v>
      </x:c>
      <x:c r="C1" s="4" t="str">
        <x:v>Investimento inicial — CAPEX</x:v>
      </x:c>
      <x:c r="D1" s="4" t="str">
        <x:v>Investimento inicial — CAPEX</x:v>
      </x:c>
      <x:c r="E1" s="4" t="str">
        <x:v>Investimento inicial — CAPEX</x:v>
      </x:c>
      <x:c r="F1" s="4" t="str">
        <x:v>Investimento inicial — CAPEX</x:v>
      </x:c>
      <x:c r="G1" s="4" t="str">
        <x:v>Investimento inicial — CAPEX</x:v>
      </x:c>
      <x:c r="H1" s="4" t="str">
        <x:v>Investimento inicial — CAPEX</x:v>
      </x:c>
    </x:row>
    <x:row r="2" ht="30" customHeight="1">
      <x:c r="A2" s="8" t="str">
        <x:v>Inclua custos pagos por terceiros e itens de proteção/encerramento; doação não transforma custo em zero.</x:v>
      </x:c>
      <x:c r="B2" s="8" t="str">
        <x:v>Inclua custos pagos por terceiros e itens de proteção/encerramento; doação não transforma custo em zero.</x:v>
      </x:c>
      <x:c r="C2" s="8" t="str">
        <x:v>Inclua custos pagos por terceiros e itens de proteção/encerramento; doação não transforma custo em zero.</x:v>
      </x:c>
      <x:c r="D2" s="8" t="str">
        <x:v>Inclua custos pagos por terceiros e itens de proteção/encerramento; doação não transforma custo em zero.</x:v>
      </x:c>
      <x:c r="E2" s="8" t="str">
        <x:v>Inclua custos pagos por terceiros e itens de proteção/encerramento; doação não transforma custo em zero.</x:v>
      </x:c>
      <x:c r="F2" s="8" t="str">
        <x:v>Inclua custos pagos por terceiros e itens de proteção/encerramento; doação não transforma custo em zero.</x:v>
      </x:c>
      <x:c r="G2" s="8" t="str">
        <x:v>Inclua custos pagos por terceiros e itens de proteção/encerramento; doação não transforma custo em zero.</x:v>
      </x:c>
      <x:c r="H2" s="8" t="str">
        <x:v>Inclua custos pagos por terceiros e itens de proteção/encerramento; doação não transforma custo em zero.</x:v>
      </x:c>
    </x:row>
    <x:row r="4" ht="28" customHeight="1">
      <x:c r="A4" s="46" t="str">
        <x:v>ID</x:v>
      </x:c>
      <x:c r="B4" s="47" t="str">
        <x:v>Grupo</x:v>
      </x:c>
      <x:c r="C4" s="47" t="str">
        <x:v>Item</x:v>
      </x:c>
      <x:c r="D4" s="47" t="str">
        <x:v>Restritivo (R$)</x:v>
      </x:c>
      <x:c r="E4" s="47" t="str">
        <x:v>Base (R$)</x:v>
      </x:c>
      <x:c r="F4" s="47" t="str">
        <x:v>Expansão (R$)</x:v>
      </x:c>
      <x:c r="G4" s="47" t="str">
        <x:v>Fonte ID</x:v>
      </x:c>
      <x:c r="H4" s="48" t="str">
        <x:v>Nota / condição</x:v>
      </x:c>
    </x:row>
    <x:row r="5">
      <x:c r="A5" s="58" t="str">
        <x:v>C01</x:v>
      </x:c>
      <x:c r="B5" s="59" t="str">
        <x:v>Infraestrutura</x:v>
      </x:c>
      <x:c r="C5" s="59" t="str">
        <x:v>Adequação física, elétrica, água e ventilação</x:v>
      </x:c>
      <x:c r="D5" s="155"/>
      <x:c r="E5" s="155"/>
      <x:c r="F5" s="155"/>
      <x:c r="G5" s="125"/>
      <x:c r="H5" s="84"/>
    </x:row>
    <x:row r="6">
      <x:c r="A6" s="61" t="str">
        <x:v>C02</x:v>
      </x:c>
      <x:c r="B6" s="62" t="str">
        <x:v>Equipamentos</x:v>
      </x:c>
      <x:c r="C6" s="62" t="str">
        <x:v>Processo principal</x:v>
      </x:c>
      <x:c r="D6" s="141"/>
      <x:c r="E6" s="141"/>
      <x:c r="F6" s="141"/>
      <x:c r="G6" s="138"/>
      <x:c r="H6" s="139"/>
    </x:row>
    <x:row r="7">
      <x:c r="A7" s="61" t="str">
        <x:v>C03</x:v>
      </x:c>
      <x:c r="B7" s="62" t="str">
        <x:v>Equipamentos</x:v>
      </x:c>
      <x:c r="C7" s="62" t="str">
        <x:v>Medição, controle e calibração</x:v>
      </x:c>
      <x:c r="D7" s="141"/>
      <x:c r="E7" s="141"/>
      <x:c r="F7" s="141"/>
      <x:c r="G7" s="138"/>
      <x:c r="H7" s="139"/>
    </x:row>
    <x:row r="8">
      <x:c r="A8" s="61" t="str">
        <x:v>C04</x:v>
      </x:c>
      <x:c r="B8" s="62" t="str">
        <x:v>Segurança</x:v>
      </x:c>
      <x:c r="C8" s="62" t="str">
        <x:v>EPC, emergência e prevenção de incêndio</x:v>
      </x:c>
      <x:c r="D8" s="141"/>
      <x:c r="E8" s="141"/>
      <x:c r="F8" s="141"/>
      <x:c r="G8" s="138"/>
      <x:c r="H8" s="139"/>
    </x:row>
    <x:row r="9">
      <x:c r="A9" s="61" t="str">
        <x:v>C05</x:v>
      </x:c>
      <x:c r="B9" s="62" t="str">
        <x:v>Instalação</x:v>
      </x:c>
      <x:c r="C9" s="62" t="str">
        <x:v>Frete, montagem e partida</x:v>
      </x:c>
      <x:c r="D9" s="141"/>
      <x:c r="E9" s="141"/>
      <x:c r="F9" s="141"/>
      <x:c r="G9" s="138"/>
      <x:c r="H9" s="139"/>
    </x:row>
    <x:row r="10">
      <x:c r="A10" s="61" t="str">
        <x:v>C06</x:v>
      </x:c>
      <x:c r="B10" s="62" t="str">
        <x:v>Qualidade</x:v>
      </x:c>
      <x:c r="C10" s="62" t="str">
        <x:v>Ensaios, avaliação e documentação inicial</x:v>
      </x:c>
      <x:c r="D10" s="141"/>
      <x:c r="E10" s="141"/>
      <x:c r="F10" s="141"/>
      <x:c r="G10" s="138"/>
      <x:c r="H10" s="139"/>
    </x:row>
    <x:row r="11">
      <x:c r="A11" s="61" t="str">
        <x:v>C07</x:v>
      </x:c>
      <x:c r="B11" s="62" t="str">
        <x:v>Ambiental</x:v>
      </x:c>
      <x:c r="C11" s="62" t="str">
        <x:v>Contenção, emissões, efluentes e resíduos</x:v>
      </x:c>
      <x:c r="D11" s="141"/>
      <x:c r="E11" s="141"/>
      <x:c r="F11" s="141"/>
      <x:c r="G11" s="138"/>
      <x:c r="H11" s="139"/>
    </x:row>
    <x:row r="12">
      <x:c r="A12" s="61" t="str">
        <x:v>C08</x:v>
      </x:c>
      <x:c r="B12" s="62" t="str">
        <x:v>Formação</x:v>
      </x:c>
      <x:c r="C12" s="62" t="str">
        <x:v>Treinamento inicial e materiais</x:v>
      </x:c>
      <x:c r="D12" s="141"/>
      <x:c r="E12" s="141"/>
      <x:c r="F12" s="141"/>
      <x:c r="G12" s="138"/>
      <x:c r="H12" s="139"/>
    </x:row>
    <x:row r="13">
      <x:c r="A13" s="61" t="str">
        <x:v>C09</x:v>
      </x:c>
      <x:c r="B13" s="62" t="str">
        <x:v>Capital de partida</x:v>
      </x:c>
      <x:c r="C13" s="62" t="str">
        <x:v>Lote inicial e consumíveis</x:v>
      </x:c>
      <x:c r="D13" s="141"/>
      <x:c r="E13" s="141"/>
      <x:c r="F13" s="141"/>
      <x:c r="G13" s="138"/>
      <x:c r="H13" s="139"/>
    </x:row>
    <x:row r="14">
      <x:c r="A14" s="61" t="str">
        <x:v>C10</x:v>
      </x:c>
      <x:c r="B14" s="62" t="str">
        <x:v>Encerramento</x:v>
      </x:c>
      <x:c r="C14" s="62" t="str">
        <x:v>Desmobilização e destinação segura</x:v>
      </x:c>
      <x:c r="D14" s="141"/>
      <x:c r="E14" s="141"/>
      <x:c r="F14" s="141"/>
      <x:c r="G14" s="138"/>
      <x:c r="H14" s="139"/>
    </x:row>
    <x:row r="15">
      <x:c r="A15" s="61" t="str">
        <x:v>C11</x:v>
      </x:c>
      <x:c r="B15" s="62" t="str">
        <x:v>Contingência</x:v>
      </x:c>
      <x:c r="C15" s="62" t="str">
        <x:v>Incertezas explicitamente justificadas</x:v>
      </x:c>
      <x:c r="D15" s="141"/>
      <x:c r="E15" s="141"/>
      <x:c r="F15" s="141"/>
      <x:c r="G15" s="138"/>
      <x:c r="H15" s="139"/>
    </x:row>
    <x:row r="16">
      <x:c r="A16" s="61" t="str">
        <x:v>C12</x:v>
      </x:c>
      <x:c r="B16" s="62" t="str">
        <x:v>Outro</x:v>
      </x:c>
      <x:c r="C16" s="62" t="str">
        <x:v>Item adicional identificado</x:v>
      </x:c>
      <x:c r="D16" s="141"/>
      <x:c r="E16" s="141"/>
      <x:c r="F16" s="141"/>
      <x:c r="G16" s="138"/>
      <x:c r="H16" s="139"/>
    </x:row>
    <x:row r="17">
      <x:c r="A17" s="156" t="str">
        <x:v>TOTAL CAPEX</x:v>
      </x:c>
      <x:c r="B17" s="157" t="str">
        <x:v>TOTAL CAPEX</x:v>
      </x:c>
      <x:c r="C17" s="157" t="str">
        <x:v>TOTAL CAPEX</x:v>
      </x:c>
      <x:c r="D17" s="158" t="n">
        <x:f>SUM(D5:D16)</x:f>
        <x:v>0</x:v>
      </x:c>
      <x:c r="E17" s="158" t="n">
        <x:f>SUM(E5:E16)</x:f>
        <x:v>0</x:v>
      </x:c>
      <x:c r="F17" s="158" t="n">
        <x:f>SUM(F5:F16)</x:f>
        <x:v>0</x:v>
      </x:c>
      <x:c r="G17" s="65"/>
      <x:c r="H17" s="66"/>
    </x:row>
  </x:sheetData>
  <x:mergeCells>
    <x:mergeCell ref="A1:H1"/>
    <x:mergeCell ref="A2:H2"/>
    <x:mergeCell ref="A17:C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40" hidden="0" customWidth="1"/>
    <x:col min="4" max="4" width="17" hidden="0" customWidth="1"/>
    <x:col min="5" max="5" width="17" hidden="0" customWidth="1"/>
    <x:col min="6" max="6" width="17" hidden="0" customWidth="1"/>
    <x:col min="7" max="7" width="13" hidden="0" customWidth="1"/>
    <x:col min="8" max="8" width="14" hidden="0" customWidth="1"/>
    <x:col min="9" max="9" width="40" hidden="0" customWidth="1"/>
  </x:cols>
  <x:sheetData>
    <x:row r="1" ht="34" customHeight="1">
      <x:c r="A1" s="4" t="str">
        <x:v>Custos operacionais mensais — OPEX</x:v>
      </x:c>
      <x:c r="B1" s="4" t="str">
        <x:v>Custos operacionais mensais — OPEX</x:v>
      </x:c>
      <x:c r="C1" s="4" t="str">
        <x:v>Custos operacionais mensais — OPEX</x:v>
      </x:c>
      <x:c r="D1" s="4" t="str">
        <x:v>Custos operacionais mensais — OPEX</x:v>
      </x:c>
      <x:c r="E1" s="4" t="str">
        <x:v>Custos operacionais mensais — OPEX</x:v>
      </x:c>
      <x:c r="F1" s="4" t="str">
        <x:v>Custos operacionais mensais — OPEX</x:v>
      </x:c>
      <x:c r="G1" s="4" t="str">
        <x:v>Custos operacionais mensais — OPEX</x:v>
      </x:c>
      <x:c r="H1" s="4" t="str">
        <x:v>Custos operacionais mensais — OPEX</x:v>
      </x:c>
      <x:c r="I1" s="4" t="str">
        <x:v>Custos operacionais mensais — OPEX</x:v>
      </x:c>
    </x:row>
    <x:row r="2" ht="30" customHeight="1">
      <x:c r="A2" s="8" t="str">
        <x:v>Custos diretos unitários do produto ficam na aba Demanda para evitar dupla contagem.</x:v>
      </x:c>
      <x:c r="B2" s="8" t="str">
        <x:v>Custos diretos unitários do produto ficam na aba Demanda para evitar dupla contagem.</x:v>
      </x:c>
      <x:c r="C2" s="8" t="str">
        <x:v>Custos diretos unitários do produto ficam na aba Demanda para evitar dupla contagem.</x:v>
      </x:c>
      <x:c r="D2" s="8" t="str">
        <x:v>Custos diretos unitários do produto ficam na aba Demanda para evitar dupla contagem.</x:v>
      </x:c>
      <x:c r="E2" s="8" t="str">
        <x:v>Custos diretos unitários do produto ficam na aba Demanda para evitar dupla contagem.</x:v>
      </x:c>
      <x:c r="F2" s="8" t="str">
        <x:v>Custos diretos unitários do produto ficam na aba Demanda para evitar dupla contagem.</x:v>
      </x:c>
      <x:c r="G2" s="8" t="str">
        <x:v>Custos diretos unitários do produto ficam na aba Demanda para evitar dupla contagem.</x:v>
      </x:c>
      <x:c r="H2" s="8" t="str">
        <x:v>Custos diretos unitários do produto ficam na aba Demanda para evitar dupla contagem.</x:v>
      </x:c>
      <x:c r="I2" s="8" t="str">
        <x:v>Custos diretos unitários do produto ficam na aba Demanda para evitar dupla contagem.</x:v>
      </x:c>
    </x:row>
    <x:row r="4" ht="28" customHeight="1">
      <x:c r="A4" s="46" t="str">
        <x:v>ID</x:v>
      </x:c>
      <x:c r="B4" s="47" t="str">
        <x:v>Grupo</x:v>
      </x:c>
      <x:c r="C4" s="47" t="str">
        <x:v>Item mensal</x:v>
      </x:c>
      <x:c r="D4" s="47" t="str">
        <x:v>Restritivo (R$)</x:v>
      </x:c>
      <x:c r="E4" s="47" t="str">
        <x:v>Base (R$)</x:v>
      </x:c>
      <x:c r="F4" s="47" t="str">
        <x:v>Expansão (R$)</x:v>
      </x:c>
      <x:c r="G4" s="47" t="str">
        <x:v>Fonte ID</x:v>
      </x:c>
      <x:c r="H4" s="47" t="str">
        <x:v>Data-base</x:v>
      </x:c>
      <x:c r="I4" s="48" t="str">
        <x:v>Nota</x:v>
      </x:c>
    </x:row>
    <x:row r="5">
      <x:c r="A5" s="58" t="str">
        <x:v>O01</x:v>
      </x:c>
      <x:c r="B5" s="59" t="str">
        <x:v>Trabalho</x:v>
      </x:c>
      <x:c r="C5" s="59" t="str">
        <x:v>Coordenação e administração</x:v>
      </x:c>
      <x:c r="D5" s="155"/>
      <x:c r="E5" s="155"/>
      <x:c r="F5" s="155"/>
      <x:c r="G5" s="125"/>
      <x:c r="H5" s="162"/>
      <x:c r="I5" s="84"/>
    </x:row>
    <x:row r="6">
      <x:c r="A6" s="61" t="str">
        <x:v>O02</x:v>
      </x:c>
      <x:c r="B6" s="62" t="str">
        <x:v>Trabalho</x:v>
      </x:c>
      <x:c r="C6" s="62" t="str">
        <x:v>Remuneração fixa e encargos</x:v>
      </x:c>
      <x:c r="D6" s="141"/>
      <x:c r="E6" s="141"/>
      <x:c r="F6" s="141"/>
      <x:c r="G6" s="138"/>
      <x:c r="H6" s="163"/>
      <x:c r="I6" s="139"/>
    </x:row>
    <x:row r="7">
      <x:c r="A7" s="61" t="str">
        <x:v>O03</x:v>
      </x:c>
      <x:c r="B7" s="62" t="str">
        <x:v>Utilidades</x:v>
      </x:c>
      <x:c r="C7" s="62" t="str">
        <x:v>Energia, água e comunicação de base</x:v>
      </x:c>
      <x:c r="D7" s="141"/>
      <x:c r="E7" s="141"/>
      <x:c r="F7" s="141"/>
      <x:c r="G7" s="138"/>
      <x:c r="H7" s="163"/>
      <x:c r="I7" s="139"/>
    </x:row>
    <x:row r="8">
      <x:c r="A8" s="61" t="str">
        <x:v>O04</x:v>
      </x:c>
      <x:c r="B8" s="62" t="str">
        <x:v>Manutenção</x:v>
      </x:c>
      <x:c r="C8" s="62" t="str">
        <x:v>Preventiva, corretiva e peças</x:v>
      </x:c>
      <x:c r="D8" s="141"/>
      <x:c r="E8" s="141"/>
      <x:c r="F8" s="141"/>
      <x:c r="G8" s="138"/>
      <x:c r="H8" s="163"/>
      <x:c r="I8" s="139"/>
    </x:row>
    <x:row r="9">
      <x:c r="A9" s="61" t="str">
        <x:v>O05</x:v>
      </x:c>
      <x:c r="B9" s="62" t="str">
        <x:v>Qualidade</x:v>
      </x:c>
      <x:c r="C9" s="62" t="str">
        <x:v>Laboratório, calibração e rastreabilidade</x:v>
      </x:c>
      <x:c r="D9" s="141"/>
      <x:c r="E9" s="141"/>
      <x:c r="F9" s="141"/>
      <x:c r="G9" s="138"/>
      <x:c r="H9" s="163"/>
      <x:c r="I9" s="139"/>
    </x:row>
    <x:row r="10">
      <x:c r="A10" s="61" t="str">
        <x:v>O06</x:v>
      </x:c>
      <x:c r="B10" s="62" t="str">
        <x:v>Segurança</x:v>
      </x:c>
      <x:c r="C10" s="62" t="str">
        <x:v>EPI/EPC, inspeção e emergência</x:v>
      </x:c>
      <x:c r="D10" s="141"/>
      <x:c r="E10" s="141"/>
      <x:c r="F10" s="141"/>
      <x:c r="G10" s="138"/>
      <x:c r="H10" s="163"/>
      <x:c r="I10" s="139"/>
    </x:row>
    <x:row r="11">
      <x:c r="A11" s="61" t="str">
        <x:v>O07</x:v>
      </x:c>
      <x:c r="B11" s="62" t="str">
        <x:v>Ambiental</x:v>
      </x:c>
      <x:c r="C11" s="62" t="str">
        <x:v>Efluentes, emissões e rejeitos</x:v>
      </x:c>
      <x:c r="D11" s="141"/>
      <x:c r="E11" s="141"/>
      <x:c r="F11" s="141"/>
      <x:c r="G11" s="138"/>
      <x:c r="H11" s="163"/>
      <x:c r="I11" s="139"/>
    </x:row>
    <x:row r="12">
      <x:c r="A12" s="61" t="str">
        <x:v>O08</x:v>
      </x:c>
      <x:c r="B12" s="62" t="str">
        <x:v>Infraestrutura</x:v>
      </x:c>
      <x:c r="C12" s="62" t="str">
        <x:v>Aluguel, seguros, licenças e taxas</x:v>
      </x:c>
      <x:c r="D12" s="141"/>
      <x:c r="E12" s="141"/>
      <x:c r="F12" s="141"/>
      <x:c r="G12" s="138"/>
      <x:c r="H12" s="163"/>
      <x:c r="I12" s="139"/>
    </x:row>
    <x:row r="13">
      <x:c r="A13" s="61" t="str">
        <x:v>O09</x:v>
      </x:c>
      <x:c r="B13" s="62" t="str">
        <x:v>Logística</x:v>
      </x:c>
      <x:c r="C13" s="62" t="str">
        <x:v>Custos fixos de coleta e entrega</x:v>
      </x:c>
      <x:c r="D13" s="141"/>
      <x:c r="E13" s="141"/>
      <x:c r="F13" s="141"/>
      <x:c r="G13" s="138"/>
      <x:c r="H13" s="163"/>
      <x:c r="I13" s="139"/>
    </x:row>
    <x:row r="14">
      <x:c r="A14" s="61" t="str">
        <x:v>O10</x:v>
      </x:c>
      <x:c r="B14" s="62" t="str">
        <x:v>Formação</x:v>
      </x:c>
      <x:c r="C14" s="62" t="str">
        <x:v>Treinamento continuado</x:v>
      </x:c>
      <x:c r="D14" s="141"/>
      <x:c r="E14" s="141"/>
      <x:c r="F14" s="141"/>
      <x:c r="G14" s="138"/>
      <x:c r="H14" s="163"/>
      <x:c r="I14" s="139"/>
    </x:row>
    <x:row r="15">
      <x:c r="A15" s="61" t="str">
        <x:v>O11</x:v>
      </x:c>
      <x:c r="B15" s="62" t="str">
        <x:v>Pós-entrega</x:v>
      </x:c>
      <x:c r="C15" s="62" t="str">
        <x:v>Assistência, garantia e avaliação</x:v>
      </x:c>
      <x:c r="D15" s="141"/>
      <x:c r="E15" s="141"/>
      <x:c r="F15" s="141"/>
      <x:c r="G15" s="138"/>
      <x:c r="H15" s="163"/>
      <x:c r="I15" s="139"/>
    </x:row>
    <x:row r="16">
      <x:c r="A16" s="61" t="str">
        <x:v>O12</x:v>
      </x:c>
      <x:c r="B16" s="62" t="str">
        <x:v>Administração</x:v>
      </x:c>
      <x:c r="C16" s="62" t="str">
        <x:v>Contabilidade e prestação de contas</x:v>
      </x:c>
      <x:c r="D16" s="141"/>
      <x:c r="E16" s="141"/>
      <x:c r="F16" s="141"/>
      <x:c r="G16" s="138"/>
      <x:c r="H16" s="163"/>
      <x:c r="I16" s="139"/>
    </x:row>
    <x:row r="17">
      <x:c r="A17" s="61" t="str">
        <x:v>O13</x:v>
      </x:c>
      <x:c r="B17" s="62" t="str">
        <x:v>Parada</x:v>
      </x:c>
      <x:c r="C17" s="62" t="str">
        <x:v>Custo de ociosidade e indisponibilidade</x:v>
      </x:c>
      <x:c r="D17" s="141"/>
      <x:c r="E17" s="141"/>
      <x:c r="F17" s="141"/>
      <x:c r="G17" s="138"/>
      <x:c r="H17" s="163"/>
      <x:c r="I17" s="139"/>
    </x:row>
    <x:row r="18">
      <x:c r="A18" s="61" t="str">
        <x:v>O14</x:v>
      </x:c>
      <x:c r="B18" s="62" t="str">
        <x:v>Outro</x:v>
      </x:c>
      <x:c r="C18" s="62" t="str">
        <x:v>Item adicional identificado</x:v>
      </x:c>
      <x:c r="D18" s="141"/>
      <x:c r="E18" s="141"/>
      <x:c r="F18" s="141"/>
      <x:c r="G18" s="138"/>
      <x:c r="H18" s="163"/>
      <x:c r="I18" s="139"/>
    </x:row>
    <x:row r="19">
      <x:c r="A19" s="156" t="str">
        <x:v>TOTAL OPEX MENSAL</x:v>
      </x:c>
      <x:c r="B19" s="157" t="str">
        <x:v>TOTAL OPEX MENSAL</x:v>
      </x:c>
      <x:c r="C19" s="157" t="str">
        <x:v>TOTAL OPEX MENSAL</x:v>
      </x:c>
      <x:c r="D19" s="158" t="n">
        <x:f>SUM(D5:D18)</x:f>
        <x:v>0</x:v>
      </x:c>
      <x:c r="E19" s="158" t="n">
        <x:f>SUM(E5:E18)</x:f>
        <x:v>0</x:v>
      </x:c>
      <x:c r="F19" s="158" t="n">
        <x:f>SUM(F5:F18)</x:f>
        <x:v>0</x:v>
      </x:c>
      <x:c r="G19" s="65"/>
      <x:c r="H19" s="65"/>
      <x:c r="I19" s="66"/>
    </x:row>
  </x:sheetData>
  <x:mergeCells>
    <x:mergeCell ref="A1:I1"/>
    <x:mergeCell ref="A2:I2"/>
    <x:mergeCell ref="A19:C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32" hidden="0" customWidth="1"/>
    <x:col min="4" max="4" width="12" hidden="0" customWidth="1"/>
    <x:col min="5" max="5" width="14" hidden="0" customWidth="1"/>
    <x:col min="6" max="6" width="15" hidden="0" customWidth="1"/>
    <x:col min="7" max="7" width="16" hidden="0" customWidth="1"/>
    <x:col min="8" max="8" width="14" hidden="0" customWidth="1"/>
    <x:col min="9" max="9" width="15" hidden="0" customWidth="1"/>
    <x:col min="10" max="10" width="16" hidden="0" customWidth="1"/>
    <x:col min="11" max="11" width="14" hidden="0" customWidth="1"/>
    <x:col min="12" max="12" width="15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34" customHeight="1">
      <x:c r="A1" s="4" t="str">
        <x:v>Demanda, receita e custo variável direto</x:v>
      </x:c>
      <x:c r="B1" s="4" t="str">
        <x:v>Demanda, receita e custo variável direto</x:v>
      </x:c>
      <x:c r="C1" s="4" t="str">
        <x:v>Demanda, receita e custo variável direto</x:v>
      </x:c>
      <x:c r="D1" s="4" t="str">
        <x:v>Demanda, receita e custo variável direto</x:v>
      </x:c>
      <x:c r="E1" s="4" t="str">
        <x:v>Demanda, receita e custo variável direto</x:v>
      </x:c>
      <x:c r="F1" s="4" t="str">
        <x:v>Demanda, receita e custo variável direto</x:v>
      </x:c>
      <x:c r="G1" s="4" t="str">
        <x:v>Demanda, receita e custo variável direto</x:v>
      </x:c>
      <x:c r="H1" s="4" t="str">
        <x:v>Demanda, receita e custo variável direto</x:v>
      </x:c>
      <x:c r="I1" s="4" t="str">
        <x:v>Demanda, receita e custo variável direto</x:v>
      </x:c>
      <x:c r="J1" s="4" t="str">
        <x:v>Demanda, receita e custo variável direto</x:v>
      </x:c>
      <x:c r="K1" s="4" t="str">
        <x:v>Demanda, receita e custo variável direto</x:v>
      </x:c>
      <x:c r="L1" s="4" t="str">
        <x:v>Demanda, receita e custo variável direto</x:v>
      </x:c>
      <x:c r="M1" s="4" t="str">
        <x:v>Demanda, receita e custo variável direto</x:v>
      </x:c>
      <x:c r="N1" s="4" t="str">
        <x:v>Demanda, receita e custo variável direto</x:v>
      </x:c>
      <x:c r="O1" s="4" t="str">
        <x:v>Demanda, receita e custo variável direto</x:v>
      </x:c>
      <x:c r="P1" s="4" t="str">
        <x:v>Demanda, receita e custo variável direto</x:v>
      </x:c>
      <x:c r="Q1" s="4" t="str">
        <x:v>Demanda, receita e custo variável direto</x:v>
      </x:c>
      <x:c r="R1" s="4" t="str">
        <x:v>Demanda, receita e custo variável direto</x:v>
      </x:c>
      <x:c r="S1" s="4" t="str">
        <x:v>Demanda, receita e custo variável direto</x:v>
      </x:c>
    </x:row>
    <x:row r="2" ht="30" customHeight="1">
      <x:c r="A2" s="8" t="str">
        <x:v>Não atribua receita a coproduto sem especificação, uso seguro, demanda e condição de comercialização.</x:v>
      </x:c>
      <x:c r="B2" s="8" t="str">
        <x:v>Não atribua receita a coproduto sem especificação, uso seguro, demanda e condição de comercialização.</x:v>
      </x:c>
      <x:c r="C2" s="8" t="str">
        <x:v>Não atribua receita a coproduto sem especificação, uso seguro, demanda e condição de comercialização.</x:v>
      </x:c>
      <x:c r="D2" s="8" t="str">
        <x:v>Não atribua receita a coproduto sem especificação, uso seguro, demanda e condição de comercialização.</x:v>
      </x:c>
      <x:c r="E2" s="8" t="str">
        <x:v>Não atribua receita a coproduto sem especificação, uso seguro, demanda e condição de comercialização.</x:v>
      </x:c>
      <x:c r="F2" s="8" t="str">
        <x:v>Não atribua receita a coproduto sem especificação, uso seguro, demanda e condição de comercialização.</x:v>
      </x:c>
      <x:c r="G2" s="8" t="str">
        <x:v>Não atribua receita a coproduto sem especificação, uso seguro, demanda e condição de comercialização.</x:v>
      </x:c>
      <x:c r="H2" s="8" t="str">
        <x:v>Não atribua receita a coproduto sem especificação, uso seguro, demanda e condição de comercialização.</x:v>
      </x:c>
      <x:c r="I2" s="8" t="str">
        <x:v>Não atribua receita a coproduto sem especificação, uso seguro, demanda e condição de comercialização.</x:v>
      </x:c>
      <x:c r="J2" s="8" t="str">
        <x:v>Não atribua receita a coproduto sem especificação, uso seguro, demanda e condição de comercialização.</x:v>
      </x:c>
      <x:c r="K2" s="8" t="str">
        <x:v>Não atribua receita a coproduto sem especificação, uso seguro, demanda e condição de comercialização.</x:v>
      </x:c>
      <x:c r="L2" s="8" t="str">
        <x:v>Não atribua receita a coproduto sem especificação, uso seguro, demanda e condição de comercialização.</x:v>
      </x:c>
      <x:c r="M2" s="8" t="str">
        <x:v>Não atribua receita a coproduto sem especificação, uso seguro, demanda e condição de comercialização.</x:v>
      </x:c>
      <x:c r="N2" s="8" t="str">
        <x:v>Não atribua receita a coproduto sem especificação, uso seguro, demanda e condição de comercialização.</x:v>
      </x:c>
      <x:c r="O2" s="8" t="str">
        <x:v>Não atribua receita a coproduto sem especificação, uso seguro, demanda e condição de comercialização.</x:v>
      </x:c>
      <x:c r="P2" s="8" t="str">
        <x:v>Não atribua receita a coproduto sem especificação, uso seguro, demanda e condição de comercialização.</x:v>
      </x:c>
      <x:c r="Q2" s="8" t="str">
        <x:v>Não atribua receita a coproduto sem especificação, uso seguro, demanda e condição de comercialização.</x:v>
      </x:c>
      <x:c r="R2" s="8" t="str">
        <x:v>Não atribua receita a coproduto sem especificação, uso seguro, demanda e condição de comercialização.</x:v>
      </x:c>
      <x:c r="S2" s="8" t="str">
        <x:v>Não atribua receita a coproduto sem especificação, uso seguro, demanda e condição de comercialização.</x:v>
      </x:c>
    </x:row>
    <x:row r="4" ht="28" customHeight="1">
      <x:c r="A4" s="46" t="str">
        <x:v>Produto/serviço</x:v>
      </x:c>
      <x:c r="B4" s="47" t="str">
        <x:v>Conformidade atual</x:v>
      </x:c>
      <x:c r="C4" s="47" t="str">
        <x:v>Evidência de demanda</x:v>
      </x:c>
      <x:c r="D4" s="48" t="str">
        <x:v>Fonte ID</x:v>
      </x:c>
      <x:c r="E4" s="46" t="str">
        <x:v>Restritivo: qtd./mês</x:v>
      </x:c>
      <x:c r="F4" s="47" t="str">
        <x:v>Preço unit. (R$)</x:v>
      </x:c>
      <x:c r="G4" s="47" t="str">
        <x:v>Custo var. unit. (R$)</x:v>
      </x:c>
      <x:c r="H4" s="47" t="str">
        <x:v>Base: qtd./mês</x:v>
      </x:c>
      <x:c r="I4" s="47" t="str">
        <x:v>Preço unit. (R$)</x:v>
      </x:c>
      <x:c r="J4" s="47" t="str">
        <x:v>Custo var. unit. (R$)</x:v>
      </x:c>
      <x:c r="K4" s="47" t="str">
        <x:v>Expansão: qtd./mês</x:v>
      </x:c>
      <x:c r="L4" s="47" t="str">
        <x:v>Preço unit. (R$)</x:v>
      </x:c>
      <x:c r="M4" s="48" t="str">
        <x:v>Custo var. unit. (R$)</x:v>
      </x:c>
      <x:c r="N4" s="46" t="str">
        <x:v>Receita restr.</x:v>
      </x:c>
      <x:c r="O4" s="47" t="str">
        <x:v>Receita base</x:v>
      </x:c>
      <x:c r="P4" s="47" t="str">
        <x:v>Receita exp.</x:v>
      </x:c>
      <x:c r="Q4" s="47" t="str">
        <x:v>Custo var. restr.</x:v>
      </x:c>
      <x:c r="R4" s="47" t="str">
        <x:v>Custo var. base</x:v>
      </x:c>
      <x:c r="S4" s="48" t="str">
        <x:v>Custo var. exp.</x:v>
      </x:c>
    </x:row>
    <x:row r="5">
      <x:c r="A5" s="138"/>
      <x:c r="B5" s="138"/>
      <x:c r="C5" s="138"/>
      <x:c r="D5" s="138"/>
      <x:c r="E5" s="141"/>
      <x:c r="F5" s="141"/>
      <x:c r="G5" s="141"/>
      <x:c r="H5" s="141"/>
      <x:c r="I5" s="141"/>
      <x:c r="J5" s="141"/>
      <x:c r="K5" s="141"/>
      <x:c r="L5" s="141"/>
      <x:c r="M5" s="141"/>
      <x:c r="N5" s="183" t="n">
        <x:f>E5*F5</x:f>
        <x:v>0</x:v>
      </x:c>
      <x:c r="O5" s="183" t="n">
        <x:f>H5*I5</x:f>
        <x:v>0</x:v>
      </x:c>
      <x:c r="P5" s="183" t="n">
        <x:f>K5*L5</x:f>
        <x:v>0</x:v>
      </x:c>
      <x:c r="Q5" s="183" t="n">
        <x:f>E5*G5</x:f>
        <x:v>0</x:v>
      </x:c>
      <x:c r="R5" s="183" t="n">
        <x:f>H5*J5</x:f>
        <x:v>0</x:v>
      </x:c>
      <x:c r="S5" s="184" t="n">
        <x:f>K5*M5</x:f>
        <x:v>0</x:v>
      </x:c>
    </x:row>
    <x:row r="6">
      <x:c r="A6" s="138"/>
      <x:c r="B6" s="138"/>
      <x:c r="C6" s="138"/>
      <x:c r="D6" s="138"/>
      <x:c r="E6" s="141"/>
      <x:c r="F6" s="141"/>
      <x:c r="G6" s="141"/>
      <x:c r="H6" s="141"/>
      <x:c r="I6" s="141"/>
      <x:c r="J6" s="141"/>
      <x:c r="K6" s="141"/>
      <x:c r="L6" s="141"/>
      <x:c r="M6" s="141"/>
      <x:c r="N6" s="183" t="n">
        <x:f>E6*F6</x:f>
        <x:v>0</x:v>
      </x:c>
      <x:c r="O6" s="183" t="n">
        <x:f>H6*I6</x:f>
        <x:v>0</x:v>
      </x:c>
      <x:c r="P6" s="183" t="n">
        <x:f>K6*L6</x:f>
        <x:v>0</x:v>
      </x:c>
      <x:c r="Q6" s="183" t="n">
        <x:f>E6*G6</x:f>
        <x:v>0</x:v>
      </x:c>
      <x:c r="R6" s="183" t="n">
        <x:f>H6*J6</x:f>
        <x:v>0</x:v>
      </x:c>
      <x:c r="S6" s="184" t="n">
        <x:f>K6*M6</x:f>
        <x:v>0</x:v>
      </x:c>
    </x:row>
    <x:row r="7">
      <x:c r="A7" s="138"/>
      <x:c r="B7" s="138"/>
      <x:c r="C7" s="138"/>
      <x:c r="D7" s="138"/>
      <x:c r="E7" s="141"/>
      <x:c r="F7" s="141"/>
      <x:c r="G7" s="141"/>
      <x:c r="H7" s="141"/>
      <x:c r="I7" s="141"/>
      <x:c r="J7" s="141"/>
      <x:c r="K7" s="141"/>
      <x:c r="L7" s="141"/>
      <x:c r="M7" s="141"/>
      <x:c r="N7" s="183" t="n">
        <x:f>E7*F7</x:f>
        <x:v>0</x:v>
      </x:c>
      <x:c r="O7" s="183" t="n">
        <x:f>H7*I7</x:f>
        <x:v>0</x:v>
      </x:c>
      <x:c r="P7" s="183" t="n">
        <x:f>K7*L7</x:f>
        <x:v>0</x:v>
      </x:c>
      <x:c r="Q7" s="183" t="n">
        <x:f>E7*G7</x:f>
        <x:v>0</x:v>
      </x:c>
      <x:c r="R7" s="183" t="n">
        <x:f>H7*J7</x:f>
        <x:v>0</x:v>
      </x:c>
      <x:c r="S7" s="184" t="n">
        <x:f>K7*M7</x:f>
        <x:v>0</x:v>
      </x:c>
    </x:row>
    <x:row r="8">
      <x:c r="A8" s="138"/>
      <x:c r="B8" s="138"/>
      <x:c r="C8" s="138"/>
      <x:c r="D8" s="138"/>
      <x:c r="E8" s="141"/>
      <x:c r="F8" s="141"/>
      <x:c r="G8" s="141"/>
      <x:c r="H8" s="141"/>
      <x:c r="I8" s="141"/>
      <x:c r="J8" s="141"/>
      <x:c r="K8" s="141"/>
      <x:c r="L8" s="141"/>
      <x:c r="M8" s="141"/>
      <x:c r="N8" s="183" t="n">
        <x:f>E8*F8</x:f>
        <x:v>0</x:v>
      </x:c>
      <x:c r="O8" s="183" t="n">
        <x:f>H8*I8</x:f>
        <x:v>0</x:v>
      </x:c>
      <x:c r="P8" s="183" t="n">
        <x:f>K8*L8</x:f>
        <x:v>0</x:v>
      </x:c>
      <x:c r="Q8" s="183" t="n">
        <x:f>E8*G8</x:f>
        <x:v>0</x:v>
      </x:c>
      <x:c r="R8" s="183" t="n">
        <x:f>H8*J8</x:f>
        <x:v>0</x:v>
      </x:c>
      <x:c r="S8" s="184" t="n">
        <x:f>K8*M8</x:f>
        <x:v>0</x:v>
      </x:c>
    </x:row>
    <x:row r="9">
      <x:c r="A9" s="138"/>
      <x:c r="B9" s="138"/>
      <x:c r="C9" s="138"/>
      <x:c r="D9" s="138"/>
      <x:c r="E9" s="141"/>
      <x:c r="F9" s="141"/>
      <x:c r="G9" s="141"/>
      <x:c r="H9" s="141"/>
      <x:c r="I9" s="141"/>
      <x:c r="J9" s="141"/>
      <x:c r="K9" s="141"/>
      <x:c r="L9" s="141"/>
      <x:c r="M9" s="141"/>
      <x:c r="N9" s="183" t="n">
        <x:f>E9*F9</x:f>
        <x:v>0</x:v>
      </x:c>
      <x:c r="O9" s="183" t="n">
        <x:f>H9*I9</x:f>
        <x:v>0</x:v>
      </x:c>
      <x:c r="P9" s="183" t="n">
        <x:f>K9*L9</x:f>
        <x:v>0</x:v>
      </x:c>
      <x:c r="Q9" s="183" t="n">
        <x:f>E9*G9</x:f>
        <x:v>0</x:v>
      </x:c>
      <x:c r="R9" s="183" t="n">
        <x:f>H9*J9</x:f>
        <x:v>0</x:v>
      </x:c>
      <x:c r="S9" s="184" t="n">
        <x:f>K9*M9</x:f>
        <x:v>0</x:v>
      </x:c>
    </x:row>
    <x:row r="10">
      <x:c r="A10" s="138"/>
      <x:c r="B10" s="138"/>
      <x:c r="C10" s="138"/>
      <x:c r="D10" s="138"/>
      <x:c r="E10" s="141"/>
      <x:c r="F10" s="141"/>
      <x:c r="G10" s="141"/>
      <x:c r="H10" s="141"/>
      <x:c r="I10" s="141"/>
      <x:c r="J10" s="141"/>
      <x:c r="K10" s="141"/>
      <x:c r="L10" s="141"/>
      <x:c r="M10" s="141"/>
      <x:c r="N10" s="183" t="n">
        <x:f>E10*F10</x:f>
        <x:v>0</x:v>
      </x:c>
      <x:c r="O10" s="183" t="n">
        <x:f>H10*I10</x:f>
        <x:v>0</x:v>
      </x:c>
      <x:c r="P10" s="183" t="n">
        <x:f>K10*L10</x:f>
        <x:v>0</x:v>
      </x:c>
      <x:c r="Q10" s="183" t="n">
        <x:f>E10*G10</x:f>
        <x:v>0</x:v>
      </x:c>
      <x:c r="R10" s="183" t="n">
        <x:f>H10*J10</x:f>
        <x:v>0</x:v>
      </x:c>
      <x:c r="S10" s="184" t="n">
        <x:f>K10*M10</x:f>
        <x:v>0</x:v>
      </x:c>
    </x:row>
    <x:row r="11">
      <x:c r="A11" s="138"/>
      <x:c r="B11" s="138"/>
      <x:c r="C11" s="138"/>
      <x:c r="D11" s="138"/>
      <x:c r="E11" s="141"/>
      <x:c r="F11" s="141"/>
      <x:c r="G11" s="141"/>
      <x:c r="H11" s="141"/>
      <x:c r="I11" s="141"/>
      <x:c r="J11" s="141"/>
      <x:c r="K11" s="141"/>
      <x:c r="L11" s="141"/>
      <x:c r="M11" s="141"/>
      <x:c r="N11" s="183" t="n">
        <x:f>E11*F11</x:f>
        <x:v>0</x:v>
      </x:c>
      <x:c r="O11" s="183" t="n">
        <x:f>H11*I11</x:f>
        <x:v>0</x:v>
      </x:c>
      <x:c r="P11" s="183" t="n">
        <x:f>K11*L11</x:f>
        <x:v>0</x:v>
      </x:c>
      <x:c r="Q11" s="183" t="n">
        <x:f>E11*G11</x:f>
        <x:v>0</x:v>
      </x:c>
      <x:c r="R11" s="183" t="n">
        <x:f>H11*J11</x:f>
        <x:v>0</x:v>
      </x:c>
      <x:c r="S11" s="184" t="n">
        <x:f>K11*M11</x:f>
        <x:v>0</x:v>
      </x:c>
    </x:row>
    <x:row r="12">
      <x:c r="A12" s="138"/>
      <x:c r="B12" s="138"/>
      <x:c r="C12" s="138"/>
      <x:c r="D12" s="138"/>
      <x:c r="E12" s="141"/>
      <x:c r="F12" s="141"/>
      <x:c r="G12" s="141"/>
      <x:c r="H12" s="141"/>
      <x:c r="I12" s="141"/>
      <x:c r="J12" s="141"/>
      <x:c r="K12" s="141"/>
      <x:c r="L12" s="141"/>
      <x:c r="M12" s="141"/>
      <x:c r="N12" s="183" t="n">
        <x:f>E12*F12</x:f>
        <x:v>0</x:v>
      </x:c>
      <x:c r="O12" s="183" t="n">
        <x:f>H12*I12</x:f>
        <x:v>0</x:v>
      </x:c>
      <x:c r="P12" s="183" t="n">
        <x:f>K12*L12</x:f>
        <x:v>0</x:v>
      </x:c>
      <x:c r="Q12" s="183" t="n">
        <x:f>E12*G12</x:f>
        <x:v>0</x:v>
      </x:c>
      <x:c r="R12" s="183" t="n">
        <x:f>H12*J12</x:f>
        <x:v>0</x:v>
      </x:c>
      <x:c r="S12" s="184" t="n">
        <x:f>K12*M12</x:f>
        <x:v>0</x:v>
      </x:c>
    </x:row>
    <x:row r="13">
      <x:c r="A13" s="138"/>
      <x:c r="B13" s="138"/>
      <x:c r="C13" s="138"/>
      <x:c r="D13" s="138"/>
      <x:c r="E13" s="141"/>
      <x:c r="F13" s="141"/>
      <x:c r="G13" s="141"/>
      <x:c r="H13" s="141"/>
      <x:c r="I13" s="141"/>
      <x:c r="J13" s="141"/>
      <x:c r="K13" s="141"/>
      <x:c r="L13" s="141"/>
      <x:c r="M13" s="141"/>
      <x:c r="N13" s="183" t="n">
        <x:f>E13*F13</x:f>
        <x:v>0</x:v>
      </x:c>
      <x:c r="O13" s="183" t="n">
        <x:f>H13*I13</x:f>
        <x:v>0</x:v>
      </x:c>
      <x:c r="P13" s="183" t="n">
        <x:f>K13*L13</x:f>
        <x:v>0</x:v>
      </x:c>
      <x:c r="Q13" s="183" t="n">
        <x:f>E13*G13</x:f>
        <x:v>0</x:v>
      </x:c>
      <x:c r="R13" s="183" t="n">
        <x:f>H13*J13</x:f>
        <x:v>0</x:v>
      </x:c>
      <x:c r="S13" s="184" t="n">
        <x:f>K13*M13</x:f>
        <x:v>0</x:v>
      </x:c>
    </x:row>
    <x:row r="14">
      <x:c r="A14" s="138"/>
      <x:c r="B14" s="138"/>
      <x:c r="C14" s="138"/>
      <x:c r="D14" s="138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83" t="n">
        <x:f>E14*F14</x:f>
        <x:v>0</x:v>
      </x:c>
      <x:c r="O14" s="183" t="n">
        <x:f>H14*I14</x:f>
        <x:v>0</x:v>
      </x:c>
      <x:c r="P14" s="183" t="n">
        <x:f>K14*L14</x:f>
        <x:v>0</x:v>
      </x:c>
      <x:c r="Q14" s="183" t="n">
        <x:f>E14*G14</x:f>
        <x:v>0</x:v>
      </x:c>
      <x:c r="R14" s="183" t="n">
        <x:f>H14*J14</x:f>
        <x:v>0</x:v>
      </x:c>
      <x:c r="S14" s="184" t="n">
        <x:f>K14*M14</x:f>
        <x:v>0</x:v>
      </x:c>
    </x:row>
    <x:row r="15">
      <x:c r="A15" s="138"/>
      <x:c r="B15" s="138"/>
      <x:c r="C15" s="138"/>
      <x:c r="D15" s="138"/>
      <x:c r="E15" s="141"/>
      <x:c r="F15" s="141"/>
      <x:c r="G15" s="141"/>
      <x:c r="H15" s="141"/>
      <x:c r="I15" s="141"/>
      <x:c r="J15" s="141"/>
      <x:c r="K15" s="141"/>
      <x:c r="L15" s="141"/>
      <x:c r="M15" s="141"/>
      <x:c r="N15" s="183" t="n">
        <x:f>E15*F15</x:f>
        <x:v>0</x:v>
      </x:c>
      <x:c r="O15" s="183" t="n">
        <x:f>H15*I15</x:f>
        <x:v>0</x:v>
      </x:c>
      <x:c r="P15" s="183" t="n">
        <x:f>K15*L15</x:f>
        <x:v>0</x:v>
      </x:c>
      <x:c r="Q15" s="183" t="n">
        <x:f>E15*G15</x:f>
        <x:v>0</x:v>
      </x:c>
      <x:c r="R15" s="183" t="n">
        <x:f>H15*J15</x:f>
        <x:v>0</x:v>
      </x:c>
      <x:c r="S15" s="184" t="n">
        <x:f>K15*M15</x:f>
        <x:v>0</x:v>
      </x:c>
    </x:row>
    <x:row r="16">
      <x:c r="A16" s="138"/>
      <x:c r="B16" s="138"/>
      <x:c r="C16" s="138"/>
      <x:c r="D16" s="138"/>
      <x:c r="E16" s="141"/>
      <x:c r="F16" s="141"/>
      <x:c r="G16" s="141"/>
      <x:c r="H16" s="141"/>
      <x:c r="I16" s="141"/>
      <x:c r="J16" s="141"/>
      <x:c r="K16" s="141"/>
      <x:c r="L16" s="141"/>
      <x:c r="M16" s="141"/>
      <x:c r="N16" s="183" t="n">
        <x:f>E16*F16</x:f>
        <x:v>0</x:v>
      </x:c>
      <x:c r="O16" s="183" t="n">
        <x:f>H16*I16</x:f>
        <x:v>0</x:v>
      </x:c>
      <x:c r="P16" s="183" t="n">
        <x:f>K16*L16</x:f>
        <x:v>0</x:v>
      </x:c>
      <x:c r="Q16" s="183" t="n">
        <x:f>E16*G16</x:f>
        <x:v>0</x:v>
      </x:c>
      <x:c r="R16" s="183" t="n">
        <x:f>H16*J16</x:f>
        <x:v>0</x:v>
      </x:c>
      <x:c r="S16" s="184" t="n">
        <x:f>K16*M16</x:f>
        <x:v>0</x:v>
      </x:c>
    </x:row>
    <x:row r="17">
      <x:c r="A17" s="138"/>
      <x:c r="B17" s="138"/>
      <x:c r="C17" s="138"/>
      <x:c r="D17" s="138"/>
      <x:c r="E17" s="141"/>
      <x:c r="F17" s="141"/>
      <x:c r="G17" s="141"/>
      <x:c r="H17" s="141"/>
      <x:c r="I17" s="141"/>
      <x:c r="J17" s="141"/>
      <x:c r="K17" s="141"/>
      <x:c r="L17" s="141"/>
      <x:c r="M17" s="141"/>
      <x:c r="N17" s="183" t="n">
        <x:f>E17*F17</x:f>
        <x:v>0</x:v>
      </x:c>
      <x:c r="O17" s="183" t="n">
        <x:f>H17*I17</x:f>
        <x:v>0</x:v>
      </x:c>
      <x:c r="P17" s="183" t="n">
        <x:f>K17*L17</x:f>
        <x:v>0</x:v>
      </x:c>
      <x:c r="Q17" s="183" t="n">
        <x:f>E17*G17</x:f>
        <x:v>0</x:v>
      </x:c>
      <x:c r="R17" s="183" t="n">
        <x:f>H17*J17</x:f>
        <x:v>0</x:v>
      </x:c>
      <x:c r="S17" s="184" t="n">
        <x:f>K17*M17</x:f>
        <x:v>0</x:v>
      </x:c>
    </x:row>
    <x:row r="18">
      <x:c r="A18" s="138"/>
      <x:c r="B18" s="138"/>
      <x:c r="C18" s="138"/>
      <x:c r="D18" s="138"/>
      <x:c r="E18" s="141"/>
      <x:c r="F18" s="141"/>
      <x:c r="G18" s="141"/>
      <x:c r="H18" s="141"/>
      <x:c r="I18" s="141"/>
      <x:c r="J18" s="141"/>
      <x:c r="K18" s="141"/>
      <x:c r="L18" s="141"/>
      <x:c r="M18" s="141"/>
      <x:c r="N18" s="183" t="n">
        <x:f>E18*F18</x:f>
        <x:v>0</x:v>
      </x:c>
      <x:c r="O18" s="183" t="n">
        <x:f>H18*I18</x:f>
        <x:v>0</x:v>
      </x:c>
      <x:c r="P18" s="183" t="n">
        <x:f>K18*L18</x:f>
        <x:v>0</x:v>
      </x:c>
      <x:c r="Q18" s="183" t="n">
        <x:f>E18*G18</x:f>
        <x:v>0</x:v>
      </x:c>
      <x:c r="R18" s="183" t="n">
        <x:f>H18*J18</x:f>
        <x:v>0</x:v>
      </x:c>
      <x:c r="S18" s="184" t="n">
        <x:f>K18*M18</x:f>
        <x:v>0</x:v>
      </x:c>
    </x:row>
    <x:row r="19">
      <x:c r="A19" s="138"/>
      <x:c r="B19" s="138"/>
      <x:c r="C19" s="138"/>
      <x:c r="D19" s="138"/>
      <x:c r="E19" s="141"/>
      <x:c r="F19" s="141"/>
      <x:c r="G19" s="141"/>
      <x:c r="H19" s="141"/>
      <x:c r="I19" s="141"/>
      <x:c r="J19" s="141"/>
      <x:c r="K19" s="141"/>
      <x:c r="L19" s="141"/>
      <x:c r="M19" s="141"/>
      <x:c r="N19" s="183" t="n">
        <x:f>E19*F19</x:f>
        <x:v>0</x:v>
      </x:c>
      <x:c r="O19" s="183" t="n">
        <x:f>H19*I19</x:f>
        <x:v>0</x:v>
      </x:c>
      <x:c r="P19" s="183" t="n">
        <x:f>K19*L19</x:f>
        <x:v>0</x:v>
      </x:c>
      <x:c r="Q19" s="183" t="n">
        <x:f>E19*G19</x:f>
        <x:v>0</x:v>
      </x:c>
      <x:c r="R19" s="183" t="n">
        <x:f>H19*J19</x:f>
        <x:v>0</x:v>
      </x:c>
      <x:c r="S19" s="184" t="n">
        <x:f>K19*M19</x:f>
        <x:v>0</x:v>
      </x:c>
    </x:row>
    <x:row r="20">
      <x:c r="A20" s="157" t="str">
        <x:v>TOTAIS MENSAIS</x:v>
      </x:c>
      <x:c r="B20" s="157" t="str">
        <x:v>TOTAIS MENSAIS</x:v>
      </x:c>
      <x:c r="C20" s="157" t="str">
        <x:v>TOTAIS MENSAIS</x:v>
      </x:c>
      <x:c r="D20" s="157" t="str">
        <x:v>TOTAIS MENSAIS</x:v>
      </x:c>
      <x:c r="E20" s="157" t="str">
        <x:v>TOTAIS MENSAIS</x:v>
      </x:c>
      <x:c r="F20" s="157" t="str">
        <x:v>TOTAIS MENSAIS</x:v>
      </x:c>
      <x:c r="G20" s="157" t="str">
        <x:v>TOTAIS MENSAIS</x:v>
      </x:c>
      <x:c r="H20" s="157" t="str">
        <x:v>TOTAIS MENSAIS</x:v>
      </x:c>
      <x:c r="I20" s="157" t="str">
        <x:v>TOTAIS MENSAIS</x:v>
      </x:c>
      <x:c r="J20" s="157" t="str">
        <x:v>TOTAIS MENSAIS</x:v>
      </x:c>
      <x:c r="K20" s="157" t="str">
        <x:v>TOTAIS MENSAIS</x:v>
      </x:c>
      <x:c r="L20" s="157" t="str">
        <x:v>TOTAIS MENSAIS</x:v>
      </x:c>
      <x:c r="M20" s="157" t="str">
        <x:v>TOTAIS MENSAIS</x:v>
      </x:c>
      <x:c r="N20" s="158" t="n">
        <x:f>SUM(N5:N19)</x:f>
        <x:v>0</x:v>
      </x:c>
      <x:c r="O20" s="158" t="n">
        <x:f>SUM(O5:O19)</x:f>
        <x:v>0</x:v>
      </x:c>
      <x:c r="P20" s="158" t="n">
        <x:f>SUM(P5:P19)</x:f>
        <x:v>0</x:v>
      </x:c>
      <x:c r="Q20" s="158" t="n">
        <x:f>SUM(Q5:Q19)</x:f>
        <x:v>0</x:v>
      </x:c>
      <x:c r="R20" s="158" t="n">
        <x:f>SUM(R5:R19)</x:f>
        <x:v>0</x:v>
      </x:c>
      <x:c r="S20" s="185" t="n">
        <x:f>SUM(S5:S19)</x:f>
        <x:v>0</x:v>
      </x:c>
    </x:row>
  </x:sheetData>
  <x:mergeCells>
    <x:mergeCell ref="A1:S1"/>
    <x:mergeCell ref="A2:S2"/>
    <x:mergeCell ref="A20:M20"/>
  </x:mergeCells>
  <x:dataValidations count="1">
    <x:dataValidation type="list" sqref="B5:B19">
      <x:formula1>"Não definido,Experimental,Protótipo,Piloto,Conforme para escopo,Não aplicável"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4" hidden="0" customWidth="1"/>
    <x:col min="5" max="5" width="48" hidden="0" customWidth="1"/>
  </x:cols>
  <x:sheetData>
    <x:row r="1" ht="34" customHeight="1">
      <x:c r="A1" s="4" t="str">
        <x:v>Resumo comparativo dos cenários</x:v>
      </x:c>
      <x:c r="B1" s="4" t="str">
        <x:v>Resumo comparativo dos cenários</x:v>
      </x:c>
      <x:c r="C1" s="4" t="str">
        <x:v>Resumo comparativo dos cenários</x:v>
      </x:c>
      <x:c r="D1" s="4" t="str">
        <x:v>Resumo comparativo dos cenários</x:v>
      </x:c>
      <x:c r="E1" s="4" t="str">
        <x:v>Resumo comparativo dos cenários</x:v>
      </x:c>
    </x:row>
    <x:row r="2" ht="30" customHeight="1">
      <x:c r="A2" s="8" t="str">
        <x:v>Resultados permanecem vazios ou nulos até que as entradas sejam preenchidas e documentadas.</x:v>
      </x:c>
      <x:c r="B2" s="8" t="str">
        <x:v>Resultados permanecem vazios ou nulos até que as entradas sejam preenchidas e documentadas.</x:v>
      </x:c>
      <x:c r="C2" s="8" t="str">
        <x:v>Resultados permanecem vazios ou nulos até que as entradas sejam preenchidas e documentadas.</x:v>
      </x:c>
      <x:c r="D2" s="8" t="str">
        <x:v>Resultados permanecem vazios ou nulos até que as entradas sejam preenchidas e documentadas.</x:v>
      </x:c>
      <x:c r="E2" s="8" t="str">
        <x:v>Resultados permanecem vazios ou nulos até que as entradas sejam preenchidas e documentadas.</x:v>
      </x:c>
    </x:row>
    <x:row r="4" ht="28" customHeight="1">
      <x:c r="A4" s="46" t="str">
        <x:v>Indicador</x:v>
      </x:c>
      <x:c r="B4" s="47" t="str">
        <x:v>Restritivo</x:v>
      </x:c>
      <x:c r="C4" s="47" t="str">
        <x:v>Base</x:v>
      </x:c>
      <x:c r="D4" s="47" t="str">
        <x:v>Expansão condicionada</x:v>
      </x:c>
      <x:c r="E4" s="48" t="str">
        <x:v>Leitura</x:v>
      </x:c>
    </x:row>
    <x:row r="5">
      <x:c r="A5" s="78" t="str">
        <x:v>CAPEX total</x:v>
      </x:c>
      <x:c r="B5" s="210" t="n">
        <x:f>'CAPEX'!D17</x:f>
        <x:v>0</x:v>
      </x:c>
      <x:c r="C5" s="210" t="n">
        <x:f>'CAPEX'!E17</x:f>
        <x:v>0</x:v>
      </x:c>
      <x:c r="D5" s="210" t="n">
        <x:f>'CAPEX'!F17</x:f>
        <x:v>0</x:v>
      </x:c>
      <x:c r="E5" s="60" t="str">
        <x:v>Investimento completo, incluindo segurança e encerramento</x:v>
      </x:c>
    </x:row>
    <x:row r="6">
      <x:c r="A6" s="79" t="str">
        <x:v>Receita mensal</x:v>
      </x:c>
      <x:c r="B6" s="211" t="n">
        <x:f>'Demanda'!N20</x:f>
        <x:v>0</x:v>
      </x:c>
      <x:c r="C6" s="211" t="n">
        <x:f>'Demanda'!O20</x:f>
        <x:v>0</x:v>
      </x:c>
      <x:c r="D6" s="211" t="n">
        <x:f>'Demanda'!P20</x:f>
        <x:v>0</x:v>
      </x:c>
      <x:c r="E6" s="63" t="str">
        <x:v>Somente demanda fundamentada</x:v>
      </x:c>
    </x:row>
    <x:row r="7">
      <x:c r="A7" s="79" t="str">
        <x:v>Custo variável direto</x:v>
      </x:c>
      <x:c r="B7" s="211" t="n">
        <x:f>'Demanda'!Q20</x:f>
        <x:v>0</x:v>
      </x:c>
      <x:c r="C7" s="211" t="n">
        <x:f>'Demanda'!R20</x:f>
        <x:v>0</x:v>
      </x:c>
      <x:c r="D7" s="211" t="n">
        <x:f>'Demanda'!S20</x:f>
        <x:v>0</x:v>
      </x:c>
      <x:c r="E7" s="63" t="str">
        <x:v>Custos unitários multiplicados pela quantidade</x:v>
      </x:c>
    </x:row>
    <x:row r="8">
      <x:c r="A8" s="79" t="str">
        <x:v>Margem de contribuição</x:v>
      </x:c>
      <x:c r="B8" s="211" t="n">
        <x:f>B6-B7</x:f>
        <x:v>0</x:v>
      </x:c>
      <x:c r="C8" s="211" t="n">
        <x:f>C6-C7</x:f>
        <x:v>0</x:v>
      </x:c>
      <x:c r="D8" s="211" t="n">
        <x:f>D6-D7</x:f>
        <x:v>0</x:v>
      </x:c>
      <x:c r="E8" s="63" t="str">
        <x:v>Receita menos custo variável direto</x:v>
      </x:c>
    </x:row>
    <x:row r="9">
      <x:c r="A9" s="79" t="str">
        <x:v>OPEX mensal</x:v>
      </x:c>
      <x:c r="B9" s="211" t="n">
        <x:f>'OPEX'!D19</x:f>
        <x:v>0</x:v>
      </x:c>
      <x:c r="C9" s="211" t="n">
        <x:f>'OPEX'!E19</x:f>
        <x:v>0</x:v>
      </x:c>
      <x:c r="D9" s="211" t="n">
        <x:f>'OPEX'!F19</x:f>
        <x:v>0</x:v>
      </x:c>
      <x:c r="E9" s="63" t="str">
        <x:v>Custos indiretos/fixos</x:v>
      </x:c>
    </x:row>
    <x:row r="10">
      <x:c r="A10" s="79" t="str">
        <x:v>Resultado operacional mensal</x:v>
      </x:c>
      <x:c r="B10" s="211" t="n">
        <x:f>B8-B9</x:f>
        <x:v>0</x:v>
      </x:c>
      <x:c r="C10" s="211" t="n">
        <x:f>C8-C9</x:f>
        <x:v>0</x:v>
      </x:c>
      <x:c r="D10" s="211" t="n">
        <x:f>D8-D9</x:f>
        <x:v>0</x:v>
      </x:c>
      <x:c r="E10" s="63" t="str">
        <x:v>Antes de dívida e subvenção</x:v>
      </x:c>
    </x:row>
    <x:row r="11">
      <x:c r="A11" s="79" t="str">
        <x:v>Margem de contribuição (%)</x:v>
      </x:c>
      <x:c r="B11" s="212" t="n">
        <x:f>IF(B6&gt;0,B8/B6,0)</x:f>
        <x:v>0</x:v>
      </x:c>
      <x:c r="C11" s="212" t="n">
        <x:f>IF(C6&gt;0,C8/C6,0)</x:f>
        <x:v>0</x:v>
      </x:c>
      <x:c r="D11" s="212" t="n">
        <x:f>IF(D6&gt;0,D8/D6,0)</x:f>
        <x:v>0</x:v>
      </x:c>
      <x:c r="E11" s="63" t="str">
        <x:v>Base para ponto de equilíbrio em valor</x:v>
      </x:c>
    </x:row>
    <x:row r="12">
      <x:c r="A12" s="79" t="str">
        <x:v>Ponto de equilíbrio (R$ receita)</x:v>
      </x:c>
      <x:c r="B12" s="211" t="n">
        <x:f>IF(B11&gt;0,B9/B11,0)</x:f>
        <x:v>0</x:v>
      </x:c>
      <x:c r="C12" s="211" t="n">
        <x:f>IF(C11&gt;0,C9/C11,0)</x:f>
        <x:v>0</x:v>
      </x:c>
      <x:c r="D12" s="211" t="n">
        <x:f>IF(D11&gt;0,D9/D11,0)</x:f>
        <x:v>0</x:v>
      </x:c>
      <x:c r="E12" s="63" t="str">
        <x:v>Não calculado sem margem positiva</x:v>
      </x:c>
    </x:row>
    <x:row r="13">
      <x:c r="A13" s="79" t="str">
        <x:v>Capital de giro estimado</x:v>
      </x:c>
      <x:c r="B13" s="211" t="n">
        <x:f>B6/30*'Premissas'!B17+B7/30*('Premissas'!B13+'Premissas'!B14+'Premissas'!B15)-B7/30*'Premissas'!B16+'Premissas'!B18</x:f>
        <x:v>0</x:v>
      </x:c>
      <x:c r="C13" s="211" t="n">
        <x:f>C6/30*'Premissas'!C17+C7/30*('Premissas'!C13+'Premissas'!C14+'Premissas'!C15)-C7/30*'Premissas'!C16+'Premissas'!C18</x:f>
        <x:v>0</x:v>
      </x:c>
      <x:c r="D13" s="211" t="n">
        <x:f>D6/30*'Premissas'!D17+D7/30*('Premissas'!D13+'Premissas'!D14+'Premissas'!D15)-D7/30*'Premissas'!D16+'Premissas'!D18</x:f>
        <x:v>0</x:v>
      </x:c>
      <x:c r="E13" s="63" t="str">
        <x:v>Estimativa simplificada por prazos e caixa mínimo</x:v>
      </x:c>
    </x:row>
    <x:row r="14">
      <x:c r="A14" s="79" t="str">
        <x:v>Necessidade inicial (CAPEX + giro)</x:v>
      </x:c>
      <x:c r="B14" s="211" t="n">
        <x:f>B5+B13</x:f>
        <x:v>0</x:v>
      </x:c>
      <x:c r="C14" s="211" t="n">
        <x:f>C5+C13</x:f>
        <x:v>0</x:v>
      </x:c>
      <x:c r="D14" s="211" t="n">
        <x:f>D5+D13</x:f>
        <x:v>0</x:v>
      </x:c>
      <x:c r="E14" s="63" t="str">
        <x:v>Não inclui retorno garantido</x:v>
      </x:c>
    </x:row>
    <x:row r="15">
      <x:c r="A15" s="79" t="str">
        <x:v>Maior déficit acumulado em 12m</x:v>
      </x:c>
      <x:c r="B15" s="211" t="n">
        <x:f>-MIN('Fluxo 12m'!B14:M14,0)</x:f>
        <x:v>0</x:v>
      </x:c>
      <x:c r="C15" s="211" t="n">
        <x:f>-MIN('Fluxo 12m'!B26:M26,0)</x:f>
        <x:v>0</x:v>
      </x:c>
      <x:c r="D15" s="211" t="n">
        <x:f>-MIN('Fluxo 12m'!B38:M38,0)</x:f>
        <x:v>0</x:v>
      </x:c>
      <x:c r="E15" s="63" t="str">
        <x:v>Depende dos fatores mensais do fluxo</x:v>
      </x:c>
    </x:row>
    <x:row r="16">
      <x:c r="A16" s="80" t="str">
        <x:v>Valor retido no território/mês</x:v>
      </x:c>
      <x:c r="B16" s="213" t="n">
        <x:f>B9*'Premissas'!B22</x:f>
        <x:v>0</x:v>
      </x:c>
      <x:c r="C16" s="213" t="n">
        <x:f>C9*'Premissas'!C22</x:f>
        <x:v>0</x:v>
      </x:c>
      <x:c r="D16" s="213" t="n">
        <x:f>D9*'Premissas'!D22</x:f>
        <x:v>0</x:v>
      </x:c>
      <x:c r="E16" s="66" t="str">
        <x:v>Parcela informada dos custos operacionais</x:v>
      </x:c>
    </x:row>
    <x:row r="19">
      <x:c r="A19" s="214" t="str">
        <x:v>O modelo compara continuidade e risco; não calcula valor da empresa, retorno garantido ou recomendação de investimento.</x:v>
      </x:c>
      <x:c r="B19" s="214" t="str">
        <x:v>O modelo compara continuidade e risco; não calcula valor da empresa, retorno garantido ou recomendação de investimento.</x:v>
      </x:c>
      <x:c r="C19" s="214" t="str">
        <x:v>O modelo compara continuidade e risco; não calcula valor da empresa, retorno garantido ou recomendação de investimento.</x:v>
      </x:c>
      <x:c r="D19" s="214" t="str">
        <x:v>O modelo compara continuidade e risco; não calcula valor da empresa, retorno garantido ou recomendação de investimento.</x:v>
      </x:c>
      <x:c r="E19" s="214" t="str">
        <x:v>O modelo compara continuidade e risco; não calcula valor da empresa, retorno garantido ou recomendação de investimento.</x:v>
      </x:c>
    </x:row>
  </x:sheetData>
  <x:mergeCells>
    <x:mergeCell ref="A1:E1"/>
    <x:mergeCell ref="A2:E2"/>
    <x:mergeCell ref="A19:E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4" t="str">
        <x:v>Fluxo de caixa simplificado — 12 meses</x:v>
      </x:c>
      <x:c r="B1" s="4" t="str">
        <x:v>Fluxo de caixa simplificado — 12 meses</x:v>
      </x:c>
      <x:c r="C1" s="4" t="str">
        <x:v>Fluxo de caixa simplificado — 12 meses</x:v>
      </x:c>
      <x:c r="D1" s="4" t="str">
        <x:v>Fluxo de caixa simplificado — 12 meses</x:v>
      </x:c>
      <x:c r="E1" s="4" t="str">
        <x:v>Fluxo de caixa simplificado — 12 meses</x:v>
      </x:c>
      <x:c r="F1" s="4" t="str">
        <x:v>Fluxo de caixa simplificado — 12 meses</x:v>
      </x:c>
      <x:c r="G1" s="4" t="str">
        <x:v>Fluxo de caixa simplificado — 12 meses</x:v>
      </x:c>
      <x:c r="H1" s="4" t="str">
        <x:v>Fluxo de caixa simplificado — 12 meses</x:v>
      </x:c>
      <x:c r="I1" s="4" t="str">
        <x:v>Fluxo de caixa simplificado — 12 meses</x:v>
      </x:c>
      <x:c r="J1" s="4" t="str">
        <x:v>Fluxo de caixa simplificado — 12 meses</x:v>
      </x:c>
      <x:c r="K1" s="4" t="str">
        <x:v>Fluxo de caixa simplificado — 12 meses</x:v>
      </x:c>
      <x:c r="L1" s="4" t="str">
        <x:v>Fluxo de caixa simplificado — 12 meses</x:v>
      </x:c>
      <x:c r="M1" s="4" t="str">
        <x:v>Fluxo de caixa simplificado — 12 meses</x:v>
      </x:c>
    </x:row>
    <x:row r="2" ht="30" customHeight="1">
      <x:c r="A2" s="8" t="str">
        <x:v>Preencha o fator mensal de operação (0% a 100%). O modelo não presume rampa nem mercado.</x:v>
      </x:c>
      <x:c r="B2" s="8" t="str">
        <x:v>Preencha o fator mensal de operação (0% a 100%). O modelo não presume rampa nem mercado.</x:v>
      </x:c>
      <x:c r="C2" s="8" t="str">
        <x:v>Preencha o fator mensal de operação (0% a 100%). O modelo não presume rampa nem mercado.</x:v>
      </x:c>
      <x:c r="D2" s="8" t="str">
        <x:v>Preencha o fator mensal de operação (0% a 100%). O modelo não presume rampa nem mercado.</x:v>
      </x:c>
      <x:c r="E2" s="8" t="str">
        <x:v>Preencha o fator mensal de operação (0% a 100%). O modelo não presume rampa nem mercado.</x:v>
      </x:c>
      <x:c r="F2" s="8" t="str">
        <x:v>Preencha o fator mensal de operação (0% a 100%). O modelo não presume rampa nem mercado.</x:v>
      </x:c>
      <x:c r="G2" s="8" t="str">
        <x:v>Preencha o fator mensal de operação (0% a 100%). O modelo não presume rampa nem mercado.</x:v>
      </x:c>
      <x:c r="H2" s="8" t="str">
        <x:v>Preencha o fator mensal de operação (0% a 100%). O modelo não presume rampa nem mercado.</x:v>
      </x:c>
      <x:c r="I2" s="8" t="str">
        <x:v>Preencha o fator mensal de operação (0% a 100%). O modelo não presume rampa nem mercado.</x:v>
      </x:c>
      <x:c r="J2" s="8" t="str">
        <x:v>Preencha o fator mensal de operação (0% a 100%). O modelo não presume rampa nem mercado.</x:v>
      </x:c>
      <x:c r="K2" s="8" t="str">
        <x:v>Preencha o fator mensal de operação (0% a 100%). O modelo não presume rampa nem mercado.</x:v>
      </x:c>
      <x:c r="L2" s="8" t="str">
        <x:v>Preencha o fator mensal de operação (0% a 100%). O modelo não presume rampa nem mercado.</x:v>
      </x:c>
      <x:c r="M2" s="8" t="str">
        <x:v>Preencha o fator mensal de operação (0% a 100%). O modelo não presume rampa nem mercado.</x:v>
      </x:c>
    </x:row>
    <x:row r="4">
      <x:c r="A4" s="10" t="str">
        <x:v>RESTRITIVO</x:v>
      </x:c>
      <x:c r="B4" s="10" t="str">
        <x:v>RESTRITIVO</x:v>
      </x:c>
      <x:c r="C4" s="10" t="str">
        <x:v>RESTRITIVO</x:v>
      </x:c>
      <x:c r="D4" s="10" t="str">
        <x:v>RESTRITIVO</x:v>
      </x:c>
      <x:c r="E4" s="10" t="str">
        <x:v>RESTRITIVO</x:v>
      </x:c>
      <x:c r="F4" s="10" t="str">
        <x:v>RESTRITIVO</x:v>
      </x:c>
      <x:c r="G4" s="10" t="str">
        <x:v>RESTRITIVO</x:v>
      </x:c>
      <x:c r="H4" s="10" t="str">
        <x:v>RESTRITIVO</x:v>
      </x:c>
      <x:c r="I4" s="10" t="str">
        <x:v>RESTRITIVO</x:v>
      </x:c>
      <x:c r="J4" s="10" t="str">
        <x:v>RESTRITIVO</x:v>
      </x:c>
      <x:c r="K4" s="10" t="str">
        <x:v>RESTRITIVO</x:v>
      </x:c>
      <x:c r="L4" s="10" t="str">
        <x:v>RESTRITIVO</x:v>
      </x:c>
      <x:c r="M4" s="10" t="str">
        <x:v>RESTRITIVO</x:v>
      </x:c>
    </x:row>
    <x:row r="5" ht="28" customHeight="1">
      <x:c r="A5" s="223" t="str">
        <x:v>Linha</x:v>
      </x:c>
      <x:c r="B5" s="223" t="str">
        <x:v>M1</x:v>
      </x:c>
      <x:c r="C5" s="223" t="str">
        <x:v>M2</x:v>
      </x:c>
      <x:c r="D5" s="223" t="str">
        <x:v>M3</x:v>
      </x:c>
      <x:c r="E5" s="223" t="str">
        <x:v>M4</x:v>
      </x:c>
      <x:c r="F5" s="223" t="str">
        <x:v>M5</x:v>
      </x:c>
      <x:c r="G5" s="223" t="str">
        <x:v>M6</x:v>
      </x:c>
      <x:c r="H5" s="223" t="str">
        <x:v>M7</x:v>
      </x:c>
      <x:c r="I5" s="223" t="str">
        <x:v>M8</x:v>
      </x:c>
      <x:c r="J5" s="223" t="str">
        <x:v>M9</x:v>
      </x:c>
      <x:c r="K5" s="223" t="str">
        <x:v>M10</x:v>
      </x:c>
      <x:c r="L5" s="223" t="str">
        <x:v>M11</x:v>
      </x:c>
      <x:c r="M5" s="46" t="str">
        <x:v>M12</x:v>
      </x:c>
    </x:row>
    <x:row r="6">
      <x:c r="A6" s="224" t="str">
        <x:v>Fator de operação</x:v>
      </x:c>
      <x:c r="B6" s="140"/>
      <x:c r="C6" s="140"/>
      <x:c r="D6" s="140"/>
      <x:c r="E6" s="140"/>
      <x:c r="F6" s="140"/>
      <x:c r="G6" s="140"/>
      <x:c r="H6" s="140"/>
      <x:c r="I6" s="140"/>
      <x:c r="J6" s="140"/>
      <x:c r="K6" s="140"/>
      <x:c r="L6" s="140"/>
      <x:c r="M6" s="220"/>
    </x:row>
    <x:row r="7">
      <x:c r="A7" s="224" t="str">
        <x:v>Receita</x:v>
      </x:c>
      <x:c r="B7" s="211" t="n">
        <x:f>'Resumo'!B6*B6</x:f>
        <x:v>0</x:v>
      </x:c>
      <x:c r="C7" s="211" t="n">
        <x:f>'Resumo'!B6*C6</x:f>
        <x:v>0</x:v>
      </x:c>
      <x:c r="D7" s="211" t="n">
        <x:f>'Resumo'!B6*D6</x:f>
        <x:v>0</x:v>
      </x:c>
      <x:c r="E7" s="211" t="n">
        <x:f>'Resumo'!B6*E6</x:f>
        <x:v>0</x:v>
      </x:c>
      <x:c r="F7" s="211" t="n">
        <x:f>'Resumo'!B6*F6</x:f>
        <x:v>0</x:v>
      </x:c>
      <x:c r="G7" s="211" t="n">
        <x:f>'Resumo'!B6*G6</x:f>
        <x:v>0</x:v>
      </x:c>
      <x:c r="H7" s="211" t="n">
        <x:f>'Resumo'!B6*H6</x:f>
        <x:v>0</x:v>
      </x:c>
      <x:c r="I7" s="211" t="n">
        <x:f>'Resumo'!B6*I6</x:f>
        <x:v>0</x:v>
      </x:c>
      <x:c r="J7" s="211" t="n">
        <x:f>'Resumo'!B6*J6</x:f>
        <x:v>0</x:v>
      </x:c>
      <x:c r="K7" s="211" t="n">
        <x:f>'Resumo'!B6*K6</x:f>
        <x:v>0</x:v>
      </x:c>
      <x:c r="L7" s="211" t="n">
        <x:f>'Resumo'!B6*L6</x:f>
        <x:v>0</x:v>
      </x:c>
      <x:c r="M7" s="225" t="n">
        <x:f>'Resumo'!B6*M6</x:f>
        <x:v>0</x:v>
      </x:c>
    </x:row>
    <x:row r="8">
      <x:c r="A8" s="224" t="str">
        <x:v>Custo variável direto</x:v>
      </x:c>
      <x:c r="B8" s="211" t="n">
        <x:f>-'Resumo'!B7*B6</x:f>
        <x:v>0</x:v>
      </x:c>
      <x:c r="C8" s="211" t="n">
        <x:f>-'Resumo'!B7*C6</x:f>
        <x:v>0</x:v>
      </x:c>
      <x:c r="D8" s="211" t="n">
        <x:f>-'Resumo'!B7*D6</x:f>
        <x:v>0</x:v>
      </x:c>
      <x:c r="E8" s="211" t="n">
        <x:f>-'Resumo'!B7*E6</x:f>
        <x:v>0</x:v>
      </x:c>
      <x:c r="F8" s="211" t="n">
        <x:f>-'Resumo'!B7*F6</x:f>
        <x:v>0</x:v>
      </x:c>
      <x:c r="G8" s="211" t="n">
        <x:f>-'Resumo'!B7*G6</x:f>
        <x:v>0</x:v>
      </x:c>
      <x:c r="H8" s="211" t="n">
        <x:f>-'Resumo'!B7*H6</x:f>
        <x:v>0</x:v>
      </x:c>
      <x:c r="I8" s="211" t="n">
        <x:f>-'Resumo'!B7*I6</x:f>
        <x:v>0</x:v>
      </x:c>
      <x:c r="J8" s="211" t="n">
        <x:f>-'Resumo'!B7*J6</x:f>
        <x:v>0</x:v>
      </x:c>
      <x:c r="K8" s="211" t="n">
        <x:f>-'Resumo'!B7*K6</x:f>
        <x:v>0</x:v>
      </x:c>
      <x:c r="L8" s="211" t="n">
        <x:f>-'Resumo'!B7*L6</x:f>
        <x:v>0</x:v>
      </x:c>
      <x:c r="M8" s="225" t="n">
        <x:f>-'Resumo'!B7*M6</x:f>
        <x:v>0</x:v>
      </x:c>
    </x:row>
    <x:row r="9">
      <x:c r="A9" s="224" t="str">
        <x:v>OPEX</x:v>
      </x:c>
      <x:c r="B9" s="211" t="n">
        <x:f>-'Resumo'!B9</x:f>
        <x:v>0</x:v>
      </x:c>
      <x:c r="C9" s="211" t="n">
        <x:f>-'Resumo'!B9</x:f>
        <x:v>0</x:v>
      </x:c>
      <x:c r="D9" s="211" t="n">
        <x:f>-'Resumo'!B9</x:f>
        <x:v>0</x:v>
      </x:c>
      <x:c r="E9" s="211" t="n">
        <x:f>-'Resumo'!B9</x:f>
        <x:v>0</x:v>
      </x:c>
      <x:c r="F9" s="211" t="n">
        <x:f>-'Resumo'!B9</x:f>
        <x:v>0</x:v>
      </x:c>
      <x:c r="G9" s="211" t="n">
        <x:f>-'Resumo'!B9</x:f>
        <x:v>0</x:v>
      </x:c>
      <x:c r="H9" s="211" t="n">
        <x:f>-'Resumo'!B9</x:f>
        <x:v>0</x:v>
      </x:c>
      <x:c r="I9" s="211" t="n">
        <x:f>-'Resumo'!B9</x:f>
        <x:v>0</x:v>
      </x:c>
      <x:c r="J9" s="211" t="n">
        <x:f>-'Resumo'!B9</x:f>
        <x:v>0</x:v>
      </x:c>
      <x:c r="K9" s="211" t="n">
        <x:f>-'Resumo'!B9</x:f>
        <x:v>0</x:v>
      </x:c>
      <x:c r="L9" s="211" t="n">
        <x:f>-'Resumo'!B9</x:f>
        <x:v>0</x:v>
      </x:c>
      <x:c r="M9" s="225" t="n">
        <x:f>-'Resumo'!B9</x:f>
        <x:v>0</x:v>
      </x:c>
    </x:row>
    <x:row r="10">
      <x:c r="A10" s="224" t="str">
        <x:v>Dívida</x:v>
      </x:c>
      <x:c r="B10" s="211" t="n">
        <x:f>-'Premissas'!B20</x:f>
        <x:v>0</x:v>
      </x:c>
      <x:c r="C10" s="211" t="n">
        <x:f>-'Premissas'!B20</x:f>
        <x:v>0</x:v>
      </x:c>
      <x:c r="D10" s="211" t="n">
        <x:f>-'Premissas'!B20</x:f>
        <x:v>0</x:v>
      </x:c>
      <x:c r="E10" s="211" t="n">
        <x:f>-'Premissas'!B20</x:f>
        <x:v>0</x:v>
      </x:c>
      <x:c r="F10" s="211" t="n">
        <x:f>-'Premissas'!B20</x:f>
        <x:v>0</x:v>
      </x:c>
      <x:c r="G10" s="211" t="n">
        <x:f>-'Premissas'!B20</x:f>
        <x:v>0</x:v>
      </x:c>
      <x:c r="H10" s="211" t="n">
        <x:f>-'Premissas'!B20</x:f>
        <x:v>0</x:v>
      </x:c>
      <x:c r="I10" s="211" t="n">
        <x:f>-'Premissas'!B20</x:f>
        <x:v>0</x:v>
      </x:c>
      <x:c r="J10" s="211" t="n">
        <x:f>-'Premissas'!B20</x:f>
        <x:v>0</x:v>
      </x:c>
      <x:c r="K10" s="211" t="n">
        <x:f>-'Premissas'!B20</x:f>
        <x:v>0</x:v>
      </x:c>
      <x:c r="L10" s="211" t="n">
        <x:f>-'Premissas'!B20</x:f>
        <x:v>0</x:v>
      </x:c>
      <x:c r="M10" s="225" t="n">
        <x:f>-'Premissas'!B20</x:f>
        <x:v>0</x:v>
      </x:c>
    </x:row>
    <x:row r="11">
      <x:c r="A11" s="224" t="str">
        <x:v>Subvenção</x:v>
      </x:c>
      <x:c r="B11" s="211" t="n">
        <x:f>'Premissas'!B21</x:f>
        <x:v>0</x:v>
      </x:c>
      <x:c r="C11" s="211" t="n">
        <x:f>'Premissas'!B21</x:f>
        <x:v>0</x:v>
      </x:c>
      <x:c r="D11" s="211" t="n">
        <x:f>'Premissas'!B21</x:f>
        <x:v>0</x:v>
      </x:c>
      <x:c r="E11" s="211" t="n">
        <x:f>'Premissas'!B21</x:f>
        <x:v>0</x:v>
      </x:c>
      <x:c r="F11" s="211" t="n">
        <x:f>'Premissas'!B21</x:f>
        <x:v>0</x:v>
      </x:c>
      <x:c r="G11" s="211" t="n">
        <x:f>'Premissas'!B21</x:f>
        <x:v>0</x:v>
      </x:c>
      <x:c r="H11" s="211" t="n">
        <x:f>'Premissas'!B21</x:f>
        <x:v>0</x:v>
      </x:c>
      <x:c r="I11" s="211" t="n">
        <x:f>'Premissas'!B21</x:f>
        <x:v>0</x:v>
      </x:c>
      <x:c r="J11" s="211" t="n">
        <x:f>'Premissas'!B21</x:f>
        <x:v>0</x:v>
      </x:c>
      <x:c r="K11" s="211" t="n">
        <x:f>'Premissas'!B21</x:f>
        <x:v>0</x:v>
      </x:c>
      <x:c r="L11" s="211" t="n">
        <x:f>'Premissas'!B21</x:f>
        <x:v>0</x:v>
      </x:c>
      <x:c r="M11" s="225" t="n">
        <x:f>'Premissas'!B21</x:f>
        <x:v>0</x:v>
      </x:c>
    </x:row>
    <x:row r="12">
      <x:c r="A12" s="224" t="str">
        <x:v>CAPEX + giro</x:v>
      </x:c>
      <x:c r="B12" s="211" t="n">
        <x:f>-'Resumo'!B14</x:f>
        <x:v>0</x:v>
      </x:c>
      <x:c r="C12" s="211" t="n">
        <x:f>0</x:f>
        <x:v>0</x:v>
      </x:c>
      <x:c r="D12" s="211" t="n">
        <x:f>0</x:f>
        <x:v>0</x:v>
      </x:c>
      <x:c r="E12" s="211" t="n">
        <x:f>0</x:f>
        <x:v>0</x:v>
      </x:c>
      <x:c r="F12" s="211" t="n">
        <x:f>0</x:f>
        <x:v>0</x:v>
      </x:c>
      <x:c r="G12" s="211" t="n">
        <x:f>0</x:f>
        <x:v>0</x:v>
      </x:c>
      <x:c r="H12" s="211" t="n">
        <x:f>0</x:f>
        <x:v>0</x:v>
      </x:c>
      <x:c r="I12" s="211" t="n">
        <x:f>0</x:f>
        <x:v>0</x:v>
      </x:c>
      <x:c r="J12" s="211" t="n">
        <x:f>0</x:f>
        <x:v>0</x:v>
      </x:c>
      <x:c r="K12" s="211" t="n">
        <x:f>0</x:f>
        <x:v>0</x:v>
      </x:c>
      <x:c r="L12" s="211" t="n">
        <x:f>0</x:f>
        <x:v>0</x:v>
      </x:c>
      <x:c r="M12" s="225" t="n">
        <x:f>0</x:f>
        <x:v>0</x:v>
      </x:c>
    </x:row>
    <x:row r="13">
      <x:c r="A13" s="224" t="str">
        <x:v>Fluxo líquido</x:v>
      </x:c>
      <x:c r="B13" s="211" t="n">
        <x:f>SUM(B7:B12)</x:f>
        <x:v>0</x:v>
      </x:c>
      <x:c r="C13" s="211" t="n">
        <x:f>SUM(C7:C12)</x:f>
        <x:v>0</x:v>
      </x:c>
      <x:c r="D13" s="211" t="n">
        <x:f>SUM(D7:D12)</x:f>
        <x:v>0</x:v>
      </x:c>
      <x:c r="E13" s="211" t="n">
        <x:f>SUM(E7:E12)</x:f>
        <x:v>0</x:v>
      </x:c>
      <x:c r="F13" s="211" t="n">
        <x:f>SUM(F7:F12)</x:f>
        <x:v>0</x:v>
      </x:c>
      <x:c r="G13" s="211" t="n">
        <x:f>SUM(G7:G12)</x:f>
        <x:v>0</x:v>
      </x:c>
      <x:c r="H13" s="211" t="n">
        <x:f>SUM(H7:H12)</x:f>
        <x:v>0</x:v>
      </x:c>
      <x:c r="I13" s="211" t="n">
        <x:f>SUM(I7:I12)</x:f>
        <x:v>0</x:v>
      </x:c>
      <x:c r="J13" s="211" t="n">
        <x:f>SUM(J7:J12)</x:f>
        <x:v>0</x:v>
      </x:c>
      <x:c r="K13" s="211" t="n">
        <x:f>SUM(K7:K12)</x:f>
        <x:v>0</x:v>
      </x:c>
      <x:c r="L13" s="211" t="n">
        <x:f>SUM(L7:L12)</x:f>
        <x:v>0</x:v>
      </x:c>
      <x:c r="M13" s="225" t="n">
        <x:f>SUM(M7:M12)</x:f>
        <x:v>0</x:v>
      </x:c>
    </x:row>
    <x:row r="14">
      <x:c r="A14" s="224" t="str">
        <x:v>Caixa acumulado</x:v>
      </x:c>
      <x:c r="B14" s="211" t="n">
        <x:f>0+B13</x:f>
        <x:v>0</x:v>
      </x:c>
      <x:c r="C14" s="211" t="n">
        <x:f>B14+C13</x:f>
        <x:v>0</x:v>
      </x:c>
      <x:c r="D14" s="211" t="n">
        <x:f>C14+D13</x:f>
        <x:v>0</x:v>
      </x:c>
      <x:c r="E14" s="211" t="n">
        <x:f>D14+E13</x:f>
        <x:v>0</x:v>
      </x:c>
      <x:c r="F14" s="211" t="n">
        <x:f>E14+F13</x:f>
        <x:v>0</x:v>
      </x:c>
      <x:c r="G14" s="211" t="n">
        <x:f>F14+G13</x:f>
        <x:v>0</x:v>
      </x:c>
      <x:c r="H14" s="211" t="n">
        <x:f>G14+H13</x:f>
        <x:v>0</x:v>
      </x:c>
      <x:c r="I14" s="211" t="n">
        <x:f>H14+I13</x:f>
        <x:v>0</x:v>
      </x:c>
      <x:c r="J14" s="211" t="n">
        <x:f>I14+J13</x:f>
        <x:v>0</x:v>
      </x:c>
      <x:c r="K14" s="211" t="n">
        <x:f>J14+K13</x:f>
        <x:v>0</x:v>
      </x:c>
      <x:c r="L14" s="211" t="n">
        <x:f>K14+L13</x:f>
        <x:v>0</x:v>
      </x:c>
      <x:c r="M14" s="225" t="n">
        <x:f>L14+M13</x:f>
        <x:v>0</x:v>
      </x:c>
    </x:row>
    <x:row r="16">
      <x:c r="A16" s="10" t="str">
        <x:v>BASE</x:v>
      </x:c>
      <x:c r="B16" s="10" t="str">
        <x:v>BASE</x:v>
      </x:c>
      <x:c r="C16" s="10" t="str">
        <x:v>BASE</x:v>
      </x:c>
      <x:c r="D16" s="10" t="str">
        <x:v>BASE</x:v>
      </x:c>
      <x:c r="E16" s="10" t="str">
        <x:v>BASE</x:v>
      </x:c>
      <x:c r="F16" s="10" t="str">
        <x:v>BASE</x:v>
      </x:c>
      <x:c r="G16" s="10" t="str">
        <x:v>BASE</x:v>
      </x:c>
      <x:c r="H16" s="10" t="str">
        <x:v>BASE</x:v>
      </x:c>
      <x:c r="I16" s="10" t="str">
        <x:v>BASE</x:v>
      </x:c>
      <x:c r="J16" s="10" t="str">
        <x:v>BASE</x:v>
      </x:c>
      <x:c r="K16" s="10" t="str">
        <x:v>BASE</x:v>
      </x:c>
      <x:c r="L16" s="10" t="str">
        <x:v>BASE</x:v>
      </x:c>
      <x:c r="M16" s="10" t="str">
        <x:v>BASE</x:v>
      </x:c>
    </x:row>
    <x:row r="17" ht="28" customHeight="1">
      <x:c r="A17" s="223" t="str">
        <x:v>Linha</x:v>
      </x:c>
      <x:c r="B17" s="223" t="str">
        <x:v>M1</x:v>
      </x:c>
      <x:c r="C17" s="223" t="str">
        <x:v>M2</x:v>
      </x:c>
      <x:c r="D17" s="223" t="str">
        <x:v>M3</x:v>
      </x:c>
      <x:c r="E17" s="223" t="str">
        <x:v>M4</x:v>
      </x:c>
      <x:c r="F17" s="223" t="str">
        <x:v>M5</x:v>
      </x:c>
      <x:c r="G17" s="223" t="str">
        <x:v>M6</x:v>
      </x:c>
      <x:c r="H17" s="223" t="str">
        <x:v>M7</x:v>
      </x:c>
      <x:c r="I17" s="223" t="str">
        <x:v>M8</x:v>
      </x:c>
      <x:c r="J17" s="223" t="str">
        <x:v>M9</x:v>
      </x:c>
      <x:c r="K17" s="223" t="str">
        <x:v>M10</x:v>
      </x:c>
      <x:c r="L17" s="223" t="str">
        <x:v>M11</x:v>
      </x:c>
      <x:c r="M17" s="46" t="str">
        <x:v>M12</x:v>
      </x:c>
    </x:row>
    <x:row r="18">
      <x:c r="A18" s="224" t="str">
        <x:v>Fator de operação</x:v>
      </x:c>
      <x:c r="B18" s="140"/>
      <x:c r="C18" s="140"/>
      <x:c r="D18" s="140"/>
      <x:c r="E18" s="140"/>
      <x:c r="F18" s="140"/>
      <x:c r="G18" s="140"/>
      <x:c r="H18" s="140"/>
      <x:c r="I18" s="140"/>
      <x:c r="J18" s="140"/>
      <x:c r="K18" s="140"/>
      <x:c r="L18" s="140"/>
      <x:c r="M18" s="220"/>
    </x:row>
    <x:row r="19">
      <x:c r="A19" s="224" t="str">
        <x:v>Receita</x:v>
      </x:c>
      <x:c r="B19" s="211" t="n">
        <x:f>'Resumo'!C6*B18</x:f>
        <x:v>0</x:v>
      </x:c>
      <x:c r="C19" s="211" t="n">
        <x:f>'Resumo'!C6*C18</x:f>
        <x:v>0</x:v>
      </x:c>
      <x:c r="D19" s="211" t="n">
        <x:f>'Resumo'!C6*D18</x:f>
        <x:v>0</x:v>
      </x:c>
      <x:c r="E19" s="211" t="n">
        <x:f>'Resumo'!C6*E18</x:f>
        <x:v>0</x:v>
      </x:c>
      <x:c r="F19" s="211" t="n">
        <x:f>'Resumo'!C6*F18</x:f>
        <x:v>0</x:v>
      </x:c>
      <x:c r="G19" s="211" t="n">
        <x:f>'Resumo'!C6*G18</x:f>
        <x:v>0</x:v>
      </x:c>
      <x:c r="H19" s="211" t="n">
        <x:f>'Resumo'!C6*H18</x:f>
        <x:v>0</x:v>
      </x:c>
      <x:c r="I19" s="211" t="n">
        <x:f>'Resumo'!C6*I18</x:f>
        <x:v>0</x:v>
      </x:c>
      <x:c r="J19" s="211" t="n">
        <x:f>'Resumo'!C6*J18</x:f>
        <x:v>0</x:v>
      </x:c>
      <x:c r="K19" s="211" t="n">
        <x:f>'Resumo'!C6*K18</x:f>
        <x:v>0</x:v>
      </x:c>
      <x:c r="L19" s="211" t="n">
        <x:f>'Resumo'!C6*L18</x:f>
        <x:v>0</x:v>
      </x:c>
      <x:c r="M19" s="225" t="n">
        <x:f>'Resumo'!C6*M18</x:f>
        <x:v>0</x:v>
      </x:c>
    </x:row>
    <x:row r="20">
      <x:c r="A20" s="224" t="str">
        <x:v>Custo variável direto</x:v>
      </x:c>
      <x:c r="B20" s="211" t="n">
        <x:f>-'Resumo'!C7*B18</x:f>
        <x:v>0</x:v>
      </x:c>
      <x:c r="C20" s="211" t="n">
        <x:f>-'Resumo'!C7*C18</x:f>
        <x:v>0</x:v>
      </x:c>
      <x:c r="D20" s="211" t="n">
        <x:f>-'Resumo'!C7*D18</x:f>
        <x:v>0</x:v>
      </x:c>
      <x:c r="E20" s="211" t="n">
        <x:f>-'Resumo'!C7*E18</x:f>
        <x:v>0</x:v>
      </x:c>
      <x:c r="F20" s="211" t="n">
        <x:f>-'Resumo'!C7*F18</x:f>
        <x:v>0</x:v>
      </x:c>
      <x:c r="G20" s="211" t="n">
        <x:f>-'Resumo'!C7*G18</x:f>
        <x:v>0</x:v>
      </x:c>
      <x:c r="H20" s="211" t="n">
        <x:f>-'Resumo'!C7*H18</x:f>
        <x:v>0</x:v>
      </x:c>
      <x:c r="I20" s="211" t="n">
        <x:f>-'Resumo'!C7*I18</x:f>
        <x:v>0</x:v>
      </x:c>
      <x:c r="J20" s="211" t="n">
        <x:f>-'Resumo'!C7*J18</x:f>
        <x:v>0</x:v>
      </x:c>
      <x:c r="K20" s="211" t="n">
        <x:f>-'Resumo'!C7*K18</x:f>
        <x:v>0</x:v>
      </x:c>
      <x:c r="L20" s="211" t="n">
        <x:f>-'Resumo'!C7*L18</x:f>
        <x:v>0</x:v>
      </x:c>
      <x:c r="M20" s="225" t="n">
        <x:f>-'Resumo'!C7*M18</x:f>
        <x:v>0</x:v>
      </x:c>
    </x:row>
    <x:row r="21">
      <x:c r="A21" s="224" t="str">
        <x:v>OPEX</x:v>
      </x:c>
      <x:c r="B21" s="211" t="n">
        <x:f>-'Resumo'!C9</x:f>
        <x:v>0</x:v>
      </x:c>
      <x:c r="C21" s="211" t="n">
        <x:f>-'Resumo'!C9</x:f>
        <x:v>0</x:v>
      </x:c>
      <x:c r="D21" s="211" t="n">
        <x:f>-'Resumo'!C9</x:f>
        <x:v>0</x:v>
      </x:c>
      <x:c r="E21" s="211" t="n">
        <x:f>-'Resumo'!C9</x:f>
        <x:v>0</x:v>
      </x:c>
      <x:c r="F21" s="211" t="n">
        <x:f>-'Resumo'!C9</x:f>
        <x:v>0</x:v>
      </x:c>
      <x:c r="G21" s="211" t="n">
        <x:f>-'Resumo'!C9</x:f>
        <x:v>0</x:v>
      </x:c>
      <x:c r="H21" s="211" t="n">
        <x:f>-'Resumo'!C9</x:f>
        <x:v>0</x:v>
      </x:c>
      <x:c r="I21" s="211" t="n">
        <x:f>-'Resumo'!C9</x:f>
        <x:v>0</x:v>
      </x:c>
      <x:c r="J21" s="211" t="n">
        <x:f>-'Resumo'!C9</x:f>
        <x:v>0</x:v>
      </x:c>
      <x:c r="K21" s="211" t="n">
        <x:f>-'Resumo'!C9</x:f>
        <x:v>0</x:v>
      </x:c>
      <x:c r="L21" s="211" t="n">
        <x:f>-'Resumo'!C9</x:f>
        <x:v>0</x:v>
      </x:c>
      <x:c r="M21" s="225" t="n">
        <x:f>-'Resumo'!C9</x:f>
        <x:v>0</x:v>
      </x:c>
    </x:row>
    <x:row r="22">
      <x:c r="A22" s="224" t="str">
        <x:v>Dívida</x:v>
      </x:c>
      <x:c r="B22" s="211" t="n">
        <x:f>-'Premissas'!C20</x:f>
        <x:v>0</x:v>
      </x:c>
      <x:c r="C22" s="211" t="n">
        <x:f>-'Premissas'!C20</x:f>
        <x:v>0</x:v>
      </x:c>
      <x:c r="D22" s="211" t="n">
        <x:f>-'Premissas'!C20</x:f>
        <x:v>0</x:v>
      </x:c>
      <x:c r="E22" s="211" t="n">
        <x:f>-'Premissas'!C20</x:f>
        <x:v>0</x:v>
      </x:c>
      <x:c r="F22" s="211" t="n">
        <x:f>-'Premissas'!C20</x:f>
        <x:v>0</x:v>
      </x:c>
      <x:c r="G22" s="211" t="n">
        <x:f>-'Premissas'!C20</x:f>
        <x:v>0</x:v>
      </x:c>
      <x:c r="H22" s="211" t="n">
        <x:f>-'Premissas'!C20</x:f>
        <x:v>0</x:v>
      </x:c>
      <x:c r="I22" s="211" t="n">
        <x:f>-'Premissas'!C20</x:f>
        <x:v>0</x:v>
      </x:c>
      <x:c r="J22" s="211" t="n">
        <x:f>-'Premissas'!C20</x:f>
        <x:v>0</x:v>
      </x:c>
      <x:c r="K22" s="211" t="n">
        <x:f>-'Premissas'!C20</x:f>
        <x:v>0</x:v>
      </x:c>
      <x:c r="L22" s="211" t="n">
        <x:f>-'Premissas'!C20</x:f>
        <x:v>0</x:v>
      </x:c>
      <x:c r="M22" s="225" t="n">
        <x:f>-'Premissas'!C20</x:f>
        <x:v>0</x:v>
      </x:c>
    </x:row>
    <x:row r="23">
      <x:c r="A23" s="224" t="str">
        <x:v>Subvenção</x:v>
      </x:c>
      <x:c r="B23" s="211" t="n">
        <x:f>'Premissas'!C21</x:f>
        <x:v>0</x:v>
      </x:c>
      <x:c r="C23" s="211" t="n">
        <x:f>'Premissas'!C21</x:f>
        <x:v>0</x:v>
      </x:c>
      <x:c r="D23" s="211" t="n">
        <x:f>'Premissas'!C21</x:f>
        <x:v>0</x:v>
      </x:c>
      <x:c r="E23" s="211" t="n">
        <x:f>'Premissas'!C21</x:f>
        <x:v>0</x:v>
      </x:c>
      <x:c r="F23" s="211" t="n">
        <x:f>'Premissas'!C21</x:f>
        <x:v>0</x:v>
      </x:c>
      <x:c r="G23" s="211" t="n">
        <x:f>'Premissas'!C21</x:f>
        <x:v>0</x:v>
      </x:c>
      <x:c r="H23" s="211" t="n">
        <x:f>'Premissas'!C21</x:f>
        <x:v>0</x:v>
      </x:c>
      <x:c r="I23" s="211" t="n">
        <x:f>'Premissas'!C21</x:f>
        <x:v>0</x:v>
      </x:c>
      <x:c r="J23" s="211" t="n">
        <x:f>'Premissas'!C21</x:f>
        <x:v>0</x:v>
      </x:c>
      <x:c r="K23" s="211" t="n">
        <x:f>'Premissas'!C21</x:f>
        <x:v>0</x:v>
      </x:c>
      <x:c r="L23" s="211" t="n">
        <x:f>'Premissas'!C21</x:f>
        <x:v>0</x:v>
      </x:c>
      <x:c r="M23" s="225" t="n">
        <x:f>'Premissas'!C21</x:f>
        <x:v>0</x:v>
      </x:c>
    </x:row>
    <x:row r="24">
      <x:c r="A24" s="224" t="str">
        <x:v>CAPEX + giro</x:v>
      </x:c>
      <x:c r="B24" s="211" t="n">
        <x:f>-'Resumo'!C14</x:f>
        <x:v>0</x:v>
      </x:c>
      <x:c r="C24" s="211" t="n">
        <x:f>0</x:f>
        <x:v>0</x:v>
      </x:c>
      <x:c r="D24" s="211" t="n">
        <x:f>0</x:f>
        <x:v>0</x:v>
      </x:c>
      <x:c r="E24" s="211" t="n">
        <x:f>0</x:f>
        <x:v>0</x:v>
      </x:c>
      <x:c r="F24" s="211" t="n">
        <x:f>0</x:f>
        <x:v>0</x:v>
      </x:c>
      <x:c r="G24" s="211" t="n">
        <x:f>0</x:f>
        <x:v>0</x:v>
      </x:c>
      <x:c r="H24" s="211" t="n">
        <x:f>0</x:f>
        <x:v>0</x:v>
      </x:c>
      <x:c r="I24" s="211" t="n">
        <x:f>0</x:f>
        <x:v>0</x:v>
      </x:c>
      <x:c r="J24" s="211" t="n">
        <x:f>0</x:f>
        <x:v>0</x:v>
      </x:c>
      <x:c r="K24" s="211" t="n">
        <x:f>0</x:f>
        <x:v>0</x:v>
      </x:c>
      <x:c r="L24" s="211" t="n">
        <x:f>0</x:f>
        <x:v>0</x:v>
      </x:c>
      <x:c r="M24" s="225" t="n">
        <x:f>0</x:f>
        <x:v>0</x:v>
      </x:c>
    </x:row>
    <x:row r="25">
      <x:c r="A25" s="224" t="str">
        <x:v>Fluxo líquido</x:v>
      </x:c>
      <x:c r="B25" s="211" t="n">
        <x:f>SUM(B19:B24)</x:f>
        <x:v>0</x:v>
      </x:c>
      <x:c r="C25" s="211" t="n">
        <x:f>SUM(C19:C24)</x:f>
        <x:v>0</x:v>
      </x:c>
      <x:c r="D25" s="211" t="n">
        <x:f>SUM(D19:D24)</x:f>
        <x:v>0</x:v>
      </x:c>
      <x:c r="E25" s="211" t="n">
        <x:f>SUM(E19:E24)</x:f>
        <x:v>0</x:v>
      </x:c>
      <x:c r="F25" s="211" t="n">
        <x:f>SUM(F19:F24)</x:f>
        <x:v>0</x:v>
      </x:c>
      <x:c r="G25" s="211" t="n">
        <x:f>SUM(G19:G24)</x:f>
        <x:v>0</x:v>
      </x:c>
      <x:c r="H25" s="211" t="n">
        <x:f>SUM(H19:H24)</x:f>
        <x:v>0</x:v>
      </x:c>
      <x:c r="I25" s="211" t="n">
        <x:f>SUM(I19:I24)</x:f>
        <x:v>0</x:v>
      </x:c>
      <x:c r="J25" s="211" t="n">
        <x:f>SUM(J19:J24)</x:f>
        <x:v>0</x:v>
      </x:c>
      <x:c r="K25" s="211" t="n">
        <x:f>SUM(K19:K24)</x:f>
        <x:v>0</x:v>
      </x:c>
      <x:c r="L25" s="211" t="n">
        <x:f>SUM(L19:L24)</x:f>
        <x:v>0</x:v>
      </x:c>
      <x:c r="M25" s="225" t="n">
        <x:f>SUM(M19:M24)</x:f>
        <x:v>0</x:v>
      </x:c>
    </x:row>
    <x:row r="26">
      <x:c r="A26" s="224" t="str">
        <x:v>Caixa acumulado</x:v>
      </x:c>
      <x:c r="B26" s="211" t="n">
        <x:f>0+B25</x:f>
        <x:v>0</x:v>
      </x:c>
      <x:c r="C26" s="211" t="n">
        <x:f>B26+C25</x:f>
        <x:v>0</x:v>
      </x:c>
      <x:c r="D26" s="211" t="n">
        <x:f>C26+D25</x:f>
        <x:v>0</x:v>
      </x:c>
      <x:c r="E26" s="211" t="n">
        <x:f>D26+E25</x:f>
        <x:v>0</x:v>
      </x:c>
      <x:c r="F26" s="211" t="n">
        <x:f>E26+F25</x:f>
        <x:v>0</x:v>
      </x:c>
      <x:c r="G26" s="211" t="n">
        <x:f>F26+G25</x:f>
        <x:v>0</x:v>
      </x:c>
      <x:c r="H26" s="211" t="n">
        <x:f>G26+H25</x:f>
        <x:v>0</x:v>
      </x:c>
      <x:c r="I26" s="211" t="n">
        <x:f>H26+I25</x:f>
        <x:v>0</x:v>
      </x:c>
      <x:c r="J26" s="211" t="n">
        <x:f>I26+J25</x:f>
        <x:v>0</x:v>
      </x:c>
      <x:c r="K26" s="211" t="n">
        <x:f>J26+K25</x:f>
        <x:v>0</x:v>
      </x:c>
      <x:c r="L26" s="211" t="n">
        <x:f>K26+L25</x:f>
        <x:v>0</x:v>
      </x:c>
      <x:c r="M26" s="225" t="n">
        <x:f>L26+M25</x:f>
        <x:v>0</x:v>
      </x:c>
    </x:row>
    <x:row r="28">
      <x:c r="A28" s="10" t="str">
        <x:v>EXPANSÃO CONDICIONADA</x:v>
      </x:c>
      <x:c r="B28" s="10" t="str">
        <x:v>EXPANSÃO CONDICIONADA</x:v>
      </x:c>
      <x:c r="C28" s="10" t="str">
        <x:v>EXPANSÃO CONDICIONADA</x:v>
      </x:c>
      <x:c r="D28" s="10" t="str">
        <x:v>EXPANSÃO CONDICIONADA</x:v>
      </x:c>
      <x:c r="E28" s="10" t="str">
        <x:v>EXPANSÃO CONDICIONADA</x:v>
      </x:c>
      <x:c r="F28" s="10" t="str">
        <x:v>EXPANSÃO CONDICIONADA</x:v>
      </x:c>
      <x:c r="G28" s="10" t="str">
        <x:v>EXPANSÃO CONDICIONADA</x:v>
      </x:c>
      <x:c r="H28" s="10" t="str">
        <x:v>EXPANSÃO CONDICIONADA</x:v>
      </x:c>
      <x:c r="I28" s="10" t="str">
        <x:v>EXPANSÃO CONDICIONADA</x:v>
      </x:c>
      <x:c r="J28" s="10" t="str">
        <x:v>EXPANSÃO CONDICIONADA</x:v>
      </x:c>
      <x:c r="K28" s="10" t="str">
        <x:v>EXPANSÃO CONDICIONADA</x:v>
      </x:c>
      <x:c r="L28" s="10" t="str">
        <x:v>EXPANSÃO CONDICIONADA</x:v>
      </x:c>
      <x:c r="M28" s="10" t="str">
        <x:v>EXPANSÃO CONDICIONADA</x:v>
      </x:c>
    </x:row>
    <x:row r="29" ht="28" customHeight="1">
      <x:c r="A29" s="223" t="str">
        <x:v>Linha</x:v>
      </x:c>
      <x:c r="B29" s="223" t="str">
        <x:v>M1</x:v>
      </x:c>
      <x:c r="C29" s="223" t="str">
        <x:v>M2</x:v>
      </x:c>
      <x:c r="D29" s="223" t="str">
        <x:v>M3</x:v>
      </x:c>
      <x:c r="E29" s="223" t="str">
        <x:v>M4</x:v>
      </x:c>
      <x:c r="F29" s="223" t="str">
        <x:v>M5</x:v>
      </x:c>
      <x:c r="G29" s="223" t="str">
        <x:v>M6</x:v>
      </x:c>
      <x:c r="H29" s="223" t="str">
        <x:v>M7</x:v>
      </x:c>
      <x:c r="I29" s="223" t="str">
        <x:v>M8</x:v>
      </x:c>
      <x:c r="J29" s="223" t="str">
        <x:v>M9</x:v>
      </x:c>
      <x:c r="K29" s="223" t="str">
        <x:v>M10</x:v>
      </x:c>
      <x:c r="L29" s="223" t="str">
        <x:v>M11</x:v>
      </x:c>
      <x:c r="M29" s="46" t="str">
        <x:v>M12</x:v>
      </x:c>
    </x:row>
    <x:row r="30">
      <x:c r="A30" s="224" t="str">
        <x:v>Fator de operação</x:v>
      </x:c>
      <x:c r="B30" s="140"/>
      <x:c r="C30" s="140"/>
      <x:c r="D30" s="140"/>
      <x:c r="E30" s="140"/>
      <x:c r="F30" s="140"/>
      <x:c r="G30" s="140"/>
      <x:c r="H30" s="140"/>
      <x:c r="I30" s="140"/>
      <x:c r="J30" s="140"/>
      <x:c r="K30" s="140"/>
      <x:c r="L30" s="140"/>
      <x:c r="M30" s="220"/>
    </x:row>
    <x:row r="31">
      <x:c r="A31" s="224" t="str">
        <x:v>Receita</x:v>
      </x:c>
      <x:c r="B31" s="211" t="n">
        <x:f>'Resumo'!D6*B30</x:f>
        <x:v>0</x:v>
      </x:c>
      <x:c r="C31" s="211" t="n">
        <x:f>'Resumo'!D6*C30</x:f>
        <x:v>0</x:v>
      </x:c>
      <x:c r="D31" s="211" t="n">
        <x:f>'Resumo'!D6*D30</x:f>
        <x:v>0</x:v>
      </x:c>
      <x:c r="E31" s="211" t="n">
        <x:f>'Resumo'!D6*E30</x:f>
        <x:v>0</x:v>
      </x:c>
      <x:c r="F31" s="211" t="n">
        <x:f>'Resumo'!D6*F30</x:f>
        <x:v>0</x:v>
      </x:c>
      <x:c r="G31" s="211" t="n">
        <x:f>'Resumo'!D6*G30</x:f>
        <x:v>0</x:v>
      </x:c>
      <x:c r="H31" s="211" t="n">
        <x:f>'Resumo'!D6*H30</x:f>
        <x:v>0</x:v>
      </x:c>
      <x:c r="I31" s="211" t="n">
        <x:f>'Resumo'!D6*I30</x:f>
        <x:v>0</x:v>
      </x:c>
      <x:c r="J31" s="211" t="n">
        <x:f>'Resumo'!D6*J30</x:f>
        <x:v>0</x:v>
      </x:c>
      <x:c r="K31" s="211" t="n">
        <x:f>'Resumo'!D6*K30</x:f>
        <x:v>0</x:v>
      </x:c>
      <x:c r="L31" s="211" t="n">
        <x:f>'Resumo'!D6*L30</x:f>
        <x:v>0</x:v>
      </x:c>
      <x:c r="M31" s="225" t="n">
        <x:f>'Resumo'!D6*M30</x:f>
        <x:v>0</x:v>
      </x:c>
    </x:row>
    <x:row r="32">
      <x:c r="A32" s="224" t="str">
        <x:v>Custo variável direto</x:v>
      </x:c>
      <x:c r="B32" s="211" t="n">
        <x:f>-'Resumo'!D7*B30</x:f>
        <x:v>0</x:v>
      </x:c>
      <x:c r="C32" s="211" t="n">
        <x:f>-'Resumo'!D7*C30</x:f>
        <x:v>0</x:v>
      </x:c>
      <x:c r="D32" s="211" t="n">
        <x:f>-'Resumo'!D7*D30</x:f>
        <x:v>0</x:v>
      </x:c>
      <x:c r="E32" s="211" t="n">
        <x:f>-'Resumo'!D7*E30</x:f>
        <x:v>0</x:v>
      </x:c>
      <x:c r="F32" s="211" t="n">
        <x:f>-'Resumo'!D7*F30</x:f>
        <x:v>0</x:v>
      </x:c>
      <x:c r="G32" s="211" t="n">
        <x:f>-'Resumo'!D7*G30</x:f>
        <x:v>0</x:v>
      </x:c>
      <x:c r="H32" s="211" t="n">
        <x:f>-'Resumo'!D7*H30</x:f>
        <x:v>0</x:v>
      </x:c>
      <x:c r="I32" s="211" t="n">
        <x:f>-'Resumo'!D7*I30</x:f>
        <x:v>0</x:v>
      </x:c>
      <x:c r="J32" s="211" t="n">
        <x:f>-'Resumo'!D7*J30</x:f>
        <x:v>0</x:v>
      </x:c>
      <x:c r="K32" s="211" t="n">
        <x:f>-'Resumo'!D7*K30</x:f>
        <x:v>0</x:v>
      </x:c>
      <x:c r="L32" s="211" t="n">
        <x:f>-'Resumo'!D7*L30</x:f>
        <x:v>0</x:v>
      </x:c>
      <x:c r="M32" s="225" t="n">
        <x:f>-'Resumo'!D7*M30</x:f>
        <x:v>0</x:v>
      </x:c>
    </x:row>
    <x:row r="33">
      <x:c r="A33" s="224" t="str">
        <x:v>OPEX</x:v>
      </x:c>
      <x:c r="B33" s="211" t="n">
        <x:f>-'Resumo'!D9</x:f>
        <x:v>0</x:v>
      </x:c>
      <x:c r="C33" s="211" t="n">
        <x:f>-'Resumo'!D9</x:f>
        <x:v>0</x:v>
      </x:c>
      <x:c r="D33" s="211" t="n">
        <x:f>-'Resumo'!D9</x:f>
        <x:v>0</x:v>
      </x:c>
      <x:c r="E33" s="211" t="n">
        <x:f>-'Resumo'!D9</x:f>
        <x:v>0</x:v>
      </x:c>
      <x:c r="F33" s="211" t="n">
        <x:f>-'Resumo'!D9</x:f>
        <x:v>0</x:v>
      </x:c>
      <x:c r="G33" s="211" t="n">
        <x:f>-'Resumo'!D9</x:f>
        <x:v>0</x:v>
      </x:c>
      <x:c r="H33" s="211" t="n">
        <x:f>-'Resumo'!D9</x:f>
        <x:v>0</x:v>
      </x:c>
      <x:c r="I33" s="211" t="n">
        <x:f>-'Resumo'!D9</x:f>
        <x:v>0</x:v>
      </x:c>
      <x:c r="J33" s="211" t="n">
        <x:f>-'Resumo'!D9</x:f>
        <x:v>0</x:v>
      </x:c>
      <x:c r="K33" s="211" t="n">
        <x:f>-'Resumo'!D9</x:f>
        <x:v>0</x:v>
      </x:c>
      <x:c r="L33" s="211" t="n">
        <x:f>-'Resumo'!D9</x:f>
        <x:v>0</x:v>
      </x:c>
      <x:c r="M33" s="225" t="n">
        <x:f>-'Resumo'!D9</x:f>
        <x:v>0</x:v>
      </x:c>
    </x:row>
    <x:row r="34">
      <x:c r="A34" s="224" t="str">
        <x:v>Dívida</x:v>
      </x:c>
      <x:c r="B34" s="211" t="n">
        <x:f>-'Premissas'!D20</x:f>
        <x:v>0</x:v>
      </x:c>
      <x:c r="C34" s="211" t="n">
        <x:f>-'Premissas'!D20</x:f>
        <x:v>0</x:v>
      </x:c>
      <x:c r="D34" s="211" t="n">
        <x:f>-'Premissas'!D20</x:f>
        <x:v>0</x:v>
      </x:c>
      <x:c r="E34" s="211" t="n">
        <x:f>-'Premissas'!D20</x:f>
        <x:v>0</x:v>
      </x:c>
      <x:c r="F34" s="211" t="n">
        <x:f>-'Premissas'!D20</x:f>
        <x:v>0</x:v>
      </x:c>
      <x:c r="G34" s="211" t="n">
        <x:f>-'Premissas'!D20</x:f>
        <x:v>0</x:v>
      </x:c>
      <x:c r="H34" s="211" t="n">
        <x:f>-'Premissas'!D20</x:f>
        <x:v>0</x:v>
      </x:c>
      <x:c r="I34" s="211" t="n">
        <x:f>-'Premissas'!D20</x:f>
        <x:v>0</x:v>
      </x:c>
      <x:c r="J34" s="211" t="n">
        <x:f>-'Premissas'!D20</x:f>
        <x:v>0</x:v>
      </x:c>
      <x:c r="K34" s="211" t="n">
        <x:f>-'Premissas'!D20</x:f>
        <x:v>0</x:v>
      </x:c>
      <x:c r="L34" s="211" t="n">
        <x:f>-'Premissas'!D20</x:f>
        <x:v>0</x:v>
      </x:c>
      <x:c r="M34" s="225" t="n">
        <x:f>-'Premissas'!D20</x:f>
        <x:v>0</x:v>
      </x:c>
    </x:row>
    <x:row r="35">
      <x:c r="A35" s="224" t="str">
        <x:v>Subvenção</x:v>
      </x:c>
      <x:c r="B35" s="211" t="n">
        <x:f>'Premissas'!D21</x:f>
        <x:v>0</x:v>
      </x:c>
      <x:c r="C35" s="211" t="n">
        <x:f>'Premissas'!D21</x:f>
        <x:v>0</x:v>
      </x:c>
      <x:c r="D35" s="211" t="n">
        <x:f>'Premissas'!D21</x:f>
        <x:v>0</x:v>
      </x:c>
      <x:c r="E35" s="211" t="n">
        <x:f>'Premissas'!D21</x:f>
        <x:v>0</x:v>
      </x:c>
      <x:c r="F35" s="211" t="n">
        <x:f>'Premissas'!D21</x:f>
        <x:v>0</x:v>
      </x:c>
      <x:c r="G35" s="211" t="n">
        <x:f>'Premissas'!D21</x:f>
        <x:v>0</x:v>
      </x:c>
      <x:c r="H35" s="211" t="n">
        <x:f>'Premissas'!D21</x:f>
        <x:v>0</x:v>
      </x:c>
      <x:c r="I35" s="211" t="n">
        <x:f>'Premissas'!D21</x:f>
        <x:v>0</x:v>
      </x:c>
      <x:c r="J35" s="211" t="n">
        <x:f>'Premissas'!D21</x:f>
        <x:v>0</x:v>
      </x:c>
      <x:c r="K35" s="211" t="n">
        <x:f>'Premissas'!D21</x:f>
        <x:v>0</x:v>
      </x:c>
      <x:c r="L35" s="211" t="n">
        <x:f>'Premissas'!D21</x:f>
        <x:v>0</x:v>
      </x:c>
      <x:c r="M35" s="225" t="n">
        <x:f>'Premissas'!D21</x:f>
        <x:v>0</x:v>
      </x:c>
    </x:row>
    <x:row r="36">
      <x:c r="A36" s="224" t="str">
        <x:v>CAPEX + giro</x:v>
      </x:c>
      <x:c r="B36" s="211" t="n">
        <x:f>-'Resumo'!D14</x:f>
        <x:v>0</x:v>
      </x:c>
      <x:c r="C36" s="211" t="n">
        <x:f>0</x:f>
        <x:v>0</x:v>
      </x:c>
      <x:c r="D36" s="211" t="n">
        <x:f>0</x:f>
        <x:v>0</x:v>
      </x:c>
      <x:c r="E36" s="211" t="n">
        <x:f>0</x:f>
        <x:v>0</x:v>
      </x:c>
      <x:c r="F36" s="211" t="n">
        <x:f>0</x:f>
        <x:v>0</x:v>
      </x:c>
      <x:c r="G36" s="211" t="n">
        <x:f>0</x:f>
        <x:v>0</x:v>
      </x:c>
      <x:c r="H36" s="211" t="n">
        <x:f>0</x:f>
        <x:v>0</x:v>
      </x:c>
      <x:c r="I36" s="211" t="n">
        <x:f>0</x:f>
        <x:v>0</x:v>
      </x:c>
      <x:c r="J36" s="211" t="n">
        <x:f>0</x:f>
        <x:v>0</x:v>
      </x:c>
      <x:c r="K36" s="211" t="n">
        <x:f>0</x:f>
        <x:v>0</x:v>
      </x:c>
      <x:c r="L36" s="211" t="n">
        <x:f>0</x:f>
        <x:v>0</x:v>
      </x:c>
      <x:c r="M36" s="225" t="n">
        <x:f>0</x:f>
        <x:v>0</x:v>
      </x:c>
    </x:row>
    <x:row r="37">
      <x:c r="A37" s="224" t="str">
        <x:v>Fluxo líquido</x:v>
      </x:c>
      <x:c r="B37" s="211" t="n">
        <x:f>SUM(B31:B36)</x:f>
        <x:v>0</x:v>
      </x:c>
      <x:c r="C37" s="211" t="n">
        <x:f>SUM(C31:C36)</x:f>
        <x:v>0</x:v>
      </x:c>
      <x:c r="D37" s="211" t="n">
        <x:f>SUM(D31:D36)</x:f>
        <x:v>0</x:v>
      </x:c>
      <x:c r="E37" s="211" t="n">
        <x:f>SUM(E31:E36)</x:f>
        <x:v>0</x:v>
      </x:c>
      <x:c r="F37" s="211" t="n">
        <x:f>SUM(F31:F36)</x:f>
        <x:v>0</x:v>
      </x:c>
      <x:c r="G37" s="211" t="n">
        <x:f>SUM(G31:G36)</x:f>
        <x:v>0</x:v>
      </x:c>
      <x:c r="H37" s="211" t="n">
        <x:f>SUM(H31:H36)</x:f>
        <x:v>0</x:v>
      </x:c>
      <x:c r="I37" s="211" t="n">
        <x:f>SUM(I31:I36)</x:f>
        <x:v>0</x:v>
      </x:c>
      <x:c r="J37" s="211" t="n">
        <x:f>SUM(J31:J36)</x:f>
        <x:v>0</x:v>
      </x:c>
      <x:c r="K37" s="211" t="n">
        <x:f>SUM(K31:K36)</x:f>
        <x:v>0</x:v>
      </x:c>
      <x:c r="L37" s="211" t="n">
        <x:f>SUM(L31:L36)</x:f>
        <x:v>0</x:v>
      </x:c>
      <x:c r="M37" s="225" t="n">
        <x:f>SUM(M31:M36)</x:f>
        <x:v>0</x:v>
      </x:c>
    </x:row>
    <x:row r="38">
      <x:c r="A38" s="224" t="str">
        <x:v>Caixa acumulado</x:v>
      </x:c>
      <x:c r="B38" s="211" t="n">
        <x:f>0+B37</x:f>
        <x:v>0</x:v>
      </x:c>
      <x:c r="C38" s="211" t="n">
        <x:f>B38+C37</x:f>
        <x:v>0</x:v>
      </x:c>
      <x:c r="D38" s="211" t="n">
        <x:f>C38+D37</x:f>
        <x:v>0</x:v>
      </x:c>
      <x:c r="E38" s="211" t="n">
        <x:f>D38+E37</x:f>
        <x:v>0</x:v>
      </x:c>
      <x:c r="F38" s="211" t="n">
        <x:f>E38+F37</x:f>
        <x:v>0</x:v>
      </x:c>
      <x:c r="G38" s="211" t="n">
        <x:f>F38+G37</x:f>
        <x:v>0</x:v>
      </x:c>
      <x:c r="H38" s="211" t="n">
        <x:f>G38+H37</x:f>
        <x:v>0</x:v>
      </x:c>
      <x:c r="I38" s="211" t="n">
        <x:f>H38+I37</x:f>
        <x:v>0</x:v>
      </x:c>
      <x:c r="J38" s="211" t="n">
        <x:f>I38+J37</x:f>
        <x:v>0</x:v>
      </x:c>
      <x:c r="K38" s="211" t="n">
        <x:f>J38+K37</x:f>
        <x:v>0</x:v>
      </x:c>
      <x:c r="L38" s="211" t="n">
        <x:f>K38+L37</x:f>
        <x:v>0</x:v>
      </x:c>
      <x:c r="M38" s="225" t="n">
        <x:f>L38+M37</x:f>
        <x:v>0</x:v>
      </x:c>
    </x:row>
  </x:sheetData>
  <x:mergeCells>
    <x:mergeCell ref="A1:M1"/>
    <x:mergeCell ref="A2:M2"/>
    <x:mergeCell ref="A4:M4"/>
    <x:mergeCell ref="A16:M16"/>
    <x:mergeCell ref="A28:M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32" hidden="0" customWidth="1"/>
    <x:col min="5" max="5" width="20" hidden="0" customWidth="1"/>
    <x:col min="6" max="6" width="14" hidden="0" customWidth="1"/>
    <x:col min="7" max="7" width="34" hidden="0" customWidth="1"/>
    <x:col min="8" max="8" width="15" hidden="0" customWidth="1"/>
  </x:cols>
  <x:sheetData>
    <x:row r="1" ht="34" customHeight="1">
      <x:c r="A1" s="4" t="str">
        <x:v>Portões de decisão e registro</x:v>
      </x:c>
      <x:c r="B1" s="4" t="str">
        <x:v>Portões de decisão e registro</x:v>
      </x:c>
      <x:c r="C1" s="4" t="str">
        <x:v>Portões de decisão e registro</x:v>
      </x:c>
      <x:c r="D1" s="4" t="str">
        <x:v>Portões de decisão e registro</x:v>
      </x:c>
      <x:c r="E1" s="4" t="str">
        <x:v>Portões de decisão e registro</x:v>
      </x:c>
      <x:c r="F1" s="4" t="str">
        <x:v>Portões de decisão e registro</x:v>
      </x:c>
      <x:c r="G1" s="4" t="str">
        <x:v>Portões de decisão e registro</x:v>
      </x:c>
      <x:c r="H1" s="4" t="str">
        <x:v>Portões de decisão e registro</x:v>
      </x:c>
    </x:row>
    <x:row r="2" ht="30" customHeight="1">
      <x:c r="A2" s="8" t="str">
        <x:v>Status deve refletir evidência documentada. 'Não atendido' pode encerrar ou redimensionar a proposta.</x:v>
      </x:c>
      <x:c r="B2" s="8" t="str">
        <x:v>Status deve refletir evidência documentada. 'Não atendido' pode encerrar ou redimensionar a proposta.</x:v>
      </x:c>
      <x:c r="C2" s="8" t="str">
        <x:v>Status deve refletir evidência documentada. 'Não atendido' pode encerrar ou redimensionar a proposta.</x:v>
      </x:c>
      <x:c r="D2" s="8" t="str">
        <x:v>Status deve refletir evidência documentada. 'Não atendido' pode encerrar ou redimensionar a proposta.</x:v>
      </x:c>
      <x:c r="E2" s="8" t="str">
        <x:v>Status deve refletir evidência documentada. 'Não atendido' pode encerrar ou redimensionar a proposta.</x:v>
      </x:c>
      <x:c r="F2" s="8" t="str">
        <x:v>Status deve refletir evidência documentada. 'Não atendido' pode encerrar ou redimensionar a proposta.</x:v>
      </x:c>
      <x:c r="G2" s="8" t="str">
        <x:v>Status deve refletir evidência documentada. 'Não atendido' pode encerrar ou redimensionar a proposta.</x:v>
      </x:c>
      <x:c r="H2" s="8" t="str">
        <x:v>Status deve refletir evidência documentada. 'Não atendido' pode encerrar ou redimensionar a proposta.</x:v>
      </x:c>
    </x:row>
    <x:row r="4" ht="28" customHeight="1">
      <x:c r="A4" s="46" t="str">
        <x:v>Portão</x:v>
      </x:c>
      <x:c r="B4" s="47" t="str">
        <x:v>Pergunta</x:v>
      </x:c>
      <x:c r="C4" s="47" t="str">
        <x:v>Status</x:v>
      </x:c>
      <x:c r="D4" s="47" t="str">
        <x:v>Evidência / Fonte ID</x:v>
      </x:c>
      <x:c r="E4" s="47" t="str">
        <x:v>Responsável</x:v>
      </x:c>
      <x:c r="F4" s="47" t="str">
        <x:v>Data</x:v>
      </x:c>
      <x:c r="G4" s="47" t="str">
        <x:v>Decisão / ação</x:v>
      </x:c>
      <x:c r="H4" s="48" t="str">
        <x:v>Próxima revisão</x:v>
      </x:c>
    </x:row>
    <x:row r="5" ht="34" customHeight="1">
      <x:c r="A5" s="58" t="str">
        <x:v>Demanda</x:v>
      </x:c>
      <x:c r="B5" s="59" t="str">
        <x:v>Existe usuário/comprador, quantidade e condição de pagamento verificáveis?</x:v>
      </x:c>
      <x:c r="C5" s="125" t="str">
        <x:v>Pendente</x:v>
      </x:c>
      <x:c r="D5" s="125"/>
      <x:c r="E5" s="125"/>
      <x:c r="F5" s="162"/>
      <x:c r="G5" s="125"/>
      <x:c r="H5" s="229"/>
    </x:row>
    <x:row r="6" ht="34" customHeight="1">
      <x:c r="A6" s="61" t="str">
        <x:v>Configuração</x:v>
      </x:c>
      <x:c r="B6" s="62" t="str">
        <x:v>Capacidade e produtividade estão ligadas a protótipo ou ensaio identificado?</x:v>
      </x:c>
      <x:c r="C6" s="138" t="str">
        <x:v>Pendente</x:v>
      </x:c>
      <x:c r="D6" s="138"/>
      <x:c r="E6" s="138"/>
      <x:c r="F6" s="163"/>
      <x:c r="G6" s="138"/>
      <x:c r="H6" s="230"/>
    </x:row>
    <x:row r="7" ht="34" customHeight="1">
      <x:c r="A7" s="61" t="str">
        <x:v>Custos completos</x:v>
      </x:c>
      <x:c r="B7" s="62" t="str">
        <x:v>CAPEX, OPEX, qualidade, segurança, resíduos e encerramento estão incluídos?</x:v>
      </x:c>
      <x:c r="C7" s="138" t="str">
        <x:v>Pendente</x:v>
      </x:c>
      <x:c r="D7" s="138"/>
      <x:c r="E7" s="138"/>
      <x:c r="F7" s="163"/>
      <x:c r="G7" s="138"/>
      <x:c r="H7" s="230"/>
    </x:row>
    <x:row r="8" ht="34" customHeight="1">
      <x:c r="A8" s="61" t="str">
        <x:v>Capital de giro</x:v>
      </x:c>
      <x:c r="B8" s="62" t="str">
        <x:v>O maior déficit pode ser coberto sem dívida informal imposta?</x:v>
      </x:c>
      <x:c r="C8" s="138" t="str">
        <x:v>Pendente</x:v>
      </x:c>
      <x:c r="D8" s="138"/>
      <x:c r="E8" s="138"/>
      <x:c r="F8" s="163"/>
      <x:c r="G8" s="138"/>
      <x:c r="H8" s="230"/>
    </x:row>
    <x:row r="9" ht="34" customHeight="1">
      <x:c r="A9" s="61" t="str">
        <x:v>Manutenção</x:v>
      </x:c>
      <x:c r="B9" s="62" t="str">
        <x:v>Peças, competência, tempo parado e reposição estão previstos?</x:v>
      </x:c>
      <x:c r="C9" s="138" t="str">
        <x:v>Pendente</x:v>
      </x:c>
      <x:c r="D9" s="138"/>
      <x:c r="E9" s="138"/>
      <x:c r="F9" s="163"/>
      <x:c r="G9" s="138"/>
      <x:c r="H9" s="230"/>
    </x:row>
    <x:row r="10" ht="34" customHeight="1">
      <x:c r="A10" s="61" t="str">
        <x:v>Conformidade</x:v>
      </x:c>
      <x:c r="B10" s="62" t="str">
        <x:v>Produto/processo pode avançar no escopo e estágio declarados?</x:v>
      </x:c>
      <x:c r="C10" s="138" t="str">
        <x:v>Pendente</x:v>
      </x:c>
      <x:c r="D10" s="138"/>
      <x:c r="E10" s="138"/>
      <x:c r="F10" s="163"/>
      <x:c r="G10" s="138"/>
      <x:c r="H10" s="230"/>
    </x:row>
    <x:row r="11" ht="34" customHeight="1">
      <x:c r="A11" s="61" t="str">
        <x:v>Território</x:v>
      </x:c>
      <x:c r="B11" s="62" t="str">
        <x:v>Diagnóstico, consentimento, alternativas e direito de recusa estão registrados?</x:v>
      </x:c>
      <x:c r="C11" s="138" t="str">
        <x:v>Pendente</x:v>
      </x:c>
      <x:c r="D11" s="138"/>
      <x:c r="E11" s="138"/>
      <x:c r="F11" s="163"/>
      <x:c r="G11" s="138"/>
      <x:c r="H11" s="230"/>
    </x:row>
    <x:row r="12" ht="34" customHeight="1">
      <x:c r="A12" s="61" t="str">
        <x:v>Distribuição</x:v>
      </x:c>
      <x:c r="B12" s="62" t="str">
        <x:v>Remuneração, benefícios, dívida e passivos estão atribuídos com transparência?</x:v>
      </x:c>
      <x:c r="C12" s="138" t="str">
        <x:v>Pendente</x:v>
      </x:c>
      <x:c r="D12" s="138"/>
      <x:c r="E12" s="138"/>
      <x:c r="F12" s="163"/>
      <x:c r="G12" s="138"/>
      <x:c r="H12" s="230"/>
    </x:row>
    <x:row r="13" ht="34" customHeight="1">
      <x:c r="A13" s="61" t="str">
        <x:v>Cenário restritivo</x:v>
      </x:c>
      <x:c r="B13" s="62" t="str">
        <x:v>Há resposta para queda de demanda, custo maior, atraso e falha?</x:v>
      </x:c>
      <x:c r="C13" s="138" t="str">
        <x:v>Pendente</x:v>
      </x:c>
      <x:c r="D13" s="138"/>
      <x:c r="E13" s="138"/>
      <x:c r="F13" s="163"/>
      <x:c r="G13" s="138"/>
      <x:c r="H13" s="230"/>
    </x:row>
    <x:row r="14" ht="34" customHeight="1">
      <x:c r="A14" s="64" t="str">
        <x:v>Saída segura</x:v>
      </x:c>
      <x:c r="B14" s="65" t="str">
        <x:v>Existe plano de interrupção, desmobilização e destino de passivos?</x:v>
      </x:c>
      <x:c r="C14" s="123" t="str">
        <x:v>Pendente</x:v>
      </x:c>
      <x:c r="D14" s="123"/>
      <x:c r="E14" s="123"/>
      <x:c r="F14" s="231"/>
      <x:c r="G14" s="123"/>
      <x:c r="H14" s="232"/>
    </x:row>
    <x:row r="17">
      <x:c r="A17" s="233" t="str">
        <x:v>STATUS DO MODELO</x:v>
      </x:c>
      <x:c r="B17" s="234" t="str">
        <x:v>STATUS DO MODELO</x:v>
      </x:c>
      <x:c r="C17" s="234" t="str">
        <x:f>IF(COUNTIF(C5:C14,"Não atendido")&gt;0,"BLOQUEADO",IF(COUNTIF(C5:C14,"Pendente")&gt;0,"PENDENTE","PRONTO PARA REVISÃO"))</x:f>
        <x:v>PENDENTE</x:v>
      </x:c>
      <x:c r="D17" s="234"/>
      <x:c r="E17" s="234"/>
      <x:c r="F17" s="234"/>
      <x:c r="G17" s="234"/>
      <x:c r="H17" s="235"/>
    </x:row>
  </x:sheetData>
  <x:mergeCells>
    <x:mergeCell ref="A1:H1"/>
    <x:mergeCell ref="A2:H2"/>
    <x:mergeCell ref="A17:B17"/>
    <x:mergeCell ref="C17:H17"/>
  </x:mergeCells>
  <x:dataValidations count="1">
    <x:dataValidation type="list" sqref="C5:C14">
      <x:formula1>"Pendente,Atendido,Não atendido,Não aplicável"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8" hidden="0" customWidth="1"/>
    <x:col min="4" max="4" width="14" hidden="0" customWidth="1"/>
    <x:col min="5" max="5" width="14" hidden="0" customWidth="1"/>
    <x:col min="6" max="6" width="26" hidden="0" customWidth="1"/>
    <x:col min="7" max="7" width="48" hidden="0" customWidth="1"/>
    <x:col min="8" max="8" width="42" hidden="0" customWidth="1"/>
  </x:cols>
  <x:sheetData>
    <x:row r="1" ht="34" customHeight="1">
      <x:c r="A1" s="4" t="str">
        <x:v>Fontes e trilha de auditoria</x:v>
      </x:c>
      <x:c r="B1" s="4" t="str">
        <x:v>Fontes e trilha de auditoria</x:v>
      </x:c>
      <x:c r="C1" s="4" t="str">
        <x:v>Fontes e trilha de auditoria</x:v>
      </x:c>
      <x:c r="D1" s="4" t="str">
        <x:v>Fontes e trilha de auditoria</x:v>
      </x:c>
      <x:c r="E1" s="4" t="str">
        <x:v>Fontes e trilha de auditoria</x:v>
      </x:c>
      <x:c r="F1" s="4" t="str">
        <x:v>Fontes e trilha de auditoria</x:v>
      </x:c>
      <x:c r="G1" s="4" t="str">
        <x:v>Fontes e trilha de auditoria</x:v>
      </x:c>
      <x:c r="H1" s="4" t="str">
        <x:v>Fontes e trilha de auditoria</x:v>
      </x:c>
    </x:row>
    <x:row r="2" ht="30" customHeight="1">
      <x:c r="A2" s="8" t="str">
        <x:v>Uma linha por cotação, medição, contrato, chamada, norma ou hipótese documentada.</x:v>
      </x:c>
      <x:c r="B2" s="8" t="str">
        <x:v>Uma linha por cotação, medição, contrato, chamada, norma ou hipótese documentada.</x:v>
      </x:c>
      <x:c r="C2" s="8" t="str">
        <x:v>Uma linha por cotação, medição, contrato, chamada, norma ou hipótese documentada.</x:v>
      </x:c>
      <x:c r="D2" s="8" t="str">
        <x:v>Uma linha por cotação, medição, contrato, chamada, norma ou hipótese documentada.</x:v>
      </x:c>
      <x:c r="E2" s="8" t="str">
        <x:v>Uma linha por cotação, medição, contrato, chamada, norma ou hipótese documentada.</x:v>
      </x:c>
      <x:c r="F2" s="8" t="str">
        <x:v>Uma linha por cotação, medição, contrato, chamada, norma ou hipótese documentada.</x:v>
      </x:c>
      <x:c r="G2" s="8" t="str">
        <x:v>Uma linha por cotação, medição, contrato, chamada, norma ou hipótese documentada.</x:v>
      </x:c>
      <x:c r="H2" s="8" t="str">
        <x:v>Uma linha por cotação, medição, contrato, chamada, norma ou hipótese documentada.</x:v>
      </x:c>
    </x:row>
    <x:row r="4" ht="28" customHeight="1">
      <x:c r="A4" s="46" t="str">
        <x:v>Fonte ID</x:v>
      </x:c>
      <x:c r="B4" s="47" t="str">
        <x:v>Item/variável</x:v>
      </x:c>
      <x:c r="C4" s="47" t="str">
        <x:v>Valor/descrição</x:v>
      </x:c>
      <x:c r="D4" s="47" t="str">
        <x:v>Unidade</x:v>
      </x:c>
      <x:c r="E4" s="47" t="str">
        <x:v>Data-base</x:v>
      </x:c>
      <x:c r="F4" s="47" t="str">
        <x:v>Fonte/emitente</x:v>
      </x:c>
      <x:c r="G4" s="47" t="str">
        <x:v>URL ou caminho</x:v>
      </x:c>
      <x:c r="H4" s="48" t="str">
        <x:v>Notas e validade</x:v>
      </x:c>
    </x:row>
    <x:row r="5">
      <x:c r="A5" s="138"/>
      <x:c r="B5" s="138"/>
      <x:c r="C5" s="138"/>
      <x:c r="D5" s="138"/>
      <x:c r="E5" s="163"/>
      <x:c r="F5" s="138"/>
      <x:c r="G5" s="138"/>
      <x:c r="H5" s="138"/>
    </x:row>
    <x:row r="6">
      <x:c r="A6" s="138"/>
      <x:c r="B6" s="138"/>
      <x:c r="C6" s="138"/>
      <x:c r="D6" s="138"/>
      <x:c r="E6" s="163"/>
      <x:c r="F6" s="138"/>
      <x:c r="G6" s="138"/>
      <x:c r="H6" s="138"/>
    </x:row>
    <x:row r="7">
      <x:c r="A7" s="138"/>
      <x:c r="B7" s="138"/>
      <x:c r="C7" s="138"/>
      <x:c r="D7" s="138"/>
      <x:c r="E7" s="163"/>
      <x:c r="F7" s="138"/>
      <x:c r="G7" s="138"/>
      <x:c r="H7" s="138"/>
    </x:row>
    <x:row r="8">
      <x:c r="A8" s="138"/>
      <x:c r="B8" s="138"/>
      <x:c r="C8" s="138"/>
      <x:c r="D8" s="138"/>
      <x:c r="E8" s="163"/>
      <x:c r="F8" s="138"/>
      <x:c r="G8" s="138"/>
      <x:c r="H8" s="138"/>
    </x:row>
    <x:row r="9">
      <x:c r="A9" s="138"/>
      <x:c r="B9" s="138"/>
      <x:c r="C9" s="138"/>
      <x:c r="D9" s="138"/>
      <x:c r="E9" s="163"/>
      <x:c r="F9" s="138"/>
      <x:c r="G9" s="138"/>
      <x:c r="H9" s="138"/>
    </x:row>
    <x:row r="10">
      <x:c r="A10" s="138"/>
      <x:c r="B10" s="138"/>
      <x:c r="C10" s="138"/>
      <x:c r="D10" s="138"/>
      <x:c r="E10" s="163"/>
      <x:c r="F10" s="138"/>
      <x:c r="G10" s="138"/>
      <x:c r="H10" s="138"/>
    </x:row>
    <x:row r="11">
      <x:c r="A11" s="138"/>
      <x:c r="B11" s="138"/>
      <x:c r="C11" s="138"/>
      <x:c r="D11" s="138"/>
      <x:c r="E11" s="163"/>
      <x:c r="F11" s="138"/>
      <x:c r="G11" s="138"/>
      <x:c r="H11" s="138"/>
    </x:row>
    <x:row r="12">
      <x:c r="A12" s="138"/>
      <x:c r="B12" s="138"/>
      <x:c r="C12" s="138"/>
      <x:c r="D12" s="138"/>
      <x:c r="E12" s="163"/>
      <x:c r="F12" s="138"/>
      <x:c r="G12" s="138"/>
      <x:c r="H12" s="138"/>
    </x:row>
    <x:row r="13">
      <x:c r="A13" s="138"/>
      <x:c r="B13" s="138"/>
      <x:c r="C13" s="138"/>
      <x:c r="D13" s="138"/>
      <x:c r="E13" s="163"/>
      <x:c r="F13" s="138"/>
      <x:c r="G13" s="138"/>
      <x:c r="H13" s="138"/>
    </x:row>
    <x:row r="14">
      <x:c r="A14" s="138"/>
      <x:c r="B14" s="138"/>
      <x:c r="C14" s="138"/>
      <x:c r="D14" s="138"/>
      <x:c r="E14" s="163"/>
      <x:c r="F14" s="138"/>
      <x:c r="G14" s="138"/>
      <x:c r="H14" s="138"/>
    </x:row>
    <x:row r="15">
      <x:c r="A15" s="138"/>
      <x:c r="B15" s="138"/>
      <x:c r="C15" s="138"/>
      <x:c r="D15" s="138"/>
      <x:c r="E15" s="163"/>
      <x:c r="F15" s="138"/>
      <x:c r="G15" s="138"/>
      <x:c r="H15" s="138"/>
    </x:row>
    <x:row r="16">
      <x:c r="A16" s="138"/>
      <x:c r="B16" s="138"/>
      <x:c r="C16" s="138"/>
      <x:c r="D16" s="138"/>
      <x:c r="E16" s="163"/>
      <x:c r="F16" s="138"/>
      <x:c r="G16" s="138"/>
      <x:c r="H16" s="138"/>
    </x:row>
    <x:row r="17">
      <x:c r="A17" s="138"/>
      <x:c r="B17" s="138"/>
      <x:c r="C17" s="138"/>
      <x:c r="D17" s="138"/>
      <x:c r="E17" s="163"/>
      <x:c r="F17" s="138"/>
      <x:c r="G17" s="138"/>
      <x:c r="H17" s="138"/>
    </x:row>
    <x:row r="18">
      <x:c r="A18" s="138"/>
      <x:c r="B18" s="138"/>
      <x:c r="C18" s="138"/>
      <x:c r="D18" s="138"/>
      <x:c r="E18" s="163"/>
      <x:c r="F18" s="138"/>
      <x:c r="G18" s="138"/>
      <x:c r="H18" s="138"/>
    </x:row>
    <x:row r="19">
      <x:c r="A19" s="138"/>
      <x:c r="B19" s="138"/>
      <x:c r="C19" s="138"/>
      <x:c r="D19" s="138"/>
      <x:c r="E19" s="163"/>
      <x:c r="F19" s="138"/>
      <x:c r="G19" s="138"/>
      <x:c r="H19" s="138"/>
    </x:row>
    <x:row r="20">
      <x:c r="A20" s="138"/>
      <x:c r="B20" s="138"/>
      <x:c r="C20" s="138"/>
      <x:c r="D20" s="138"/>
      <x:c r="E20" s="163"/>
      <x:c r="F20" s="138"/>
      <x:c r="G20" s="138"/>
      <x:c r="H20" s="138"/>
    </x:row>
    <x:row r="21">
      <x:c r="A21" s="138"/>
      <x:c r="B21" s="138"/>
      <x:c r="C21" s="138"/>
      <x:c r="D21" s="138"/>
      <x:c r="E21" s="163"/>
      <x:c r="F21" s="138"/>
      <x:c r="G21" s="138"/>
      <x:c r="H21" s="138"/>
    </x:row>
    <x:row r="22">
      <x:c r="A22" s="138"/>
      <x:c r="B22" s="138"/>
      <x:c r="C22" s="138"/>
      <x:c r="D22" s="138"/>
      <x:c r="E22" s="163"/>
      <x:c r="F22" s="138"/>
      <x:c r="G22" s="138"/>
      <x:c r="H22" s="138"/>
    </x:row>
    <x:row r="23">
      <x:c r="A23" s="138"/>
      <x:c r="B23" s="138"/>
      <x:c r="C23" s="138"/>
      <x:c r="D23" s="138"/>
      <x:c r="E23" s="163"/>
      <x:c r="F23" s="138"/>
      <x:c r="G23" s="138"/>
      <x:c r="H23" s="138"/>
    </x:row>
    <x:row r="24">
      <x:c r="A24" s="138"/>
      <x:c r="B24" s="138"/>
      <x:c r="C24" s="138"/>
      <x:c r="D24" s="138"/>
      <x:c r="E24" s="163"/>
      <x:c r="F24" s="138"/>
      <x:c r="G24" s="138"/>
      <x:c r="H24" s="138"/>
    </x:row>
    <x:row r="25">
      <x:c r="A25" s="138"/>
      <x:c r="B25" s="138"/>
      <x:c r="C25" s="138"/>
      <x:c r="D25" s="138"/>
      <x:c r="E25" s="163"/>
      <x:c r="F25" s="138"/>
      <x:c r="G25" s="138"/>
      <x:c r="H25" s="138"/>
    </x:row>
    <x:row r="26">
      <x:c r="A26" s="138"/>
      <x:c r="B26" s="138"/>
      <x:c r="C26" s="138"/>
      <x:c r="D26" s="138"/>
      <x:c r="E26" s="163"/>
      <x:c r="F26" s="138"/>
      <x:c r="G26" s="138"/>
      <x:c r="H26" s="138"/>
    </x:row>
    <x:row r="27">
      <x:c r="A27" s="138"/>
      <x:c r="B27" s="138"/>
      <x:c r="C27" s="138"/>
      <x:c r="D27" s="138"/>
      <x:c r="E27" s="163"/>
      <x:c r="F27" s="138"/>
      <x:c r="G27" s="138"/>
      <x:c r="H27" s="138"/>
    </x:row>
    <x:row r="28">
      <x:c r="A28" s="138"/>
      <x:c r="B28" s="138"/>
      <x:c r="C28" s="138"/>
      <x:c r="D28" s="138"/>
      <x:c r="E28" s="163"/>
      <x:c r="F28" s="138"/>
      <x:c r="G28" s="138"/>
      <x:c r="H28" s="138"/>
    </x:row>
    <x:row r="29">
      <x:c r="A29" s="138"/>
      <x:c r="B29" s="138"/>
      <x:c r="C29" s="138"/>
      <x:c r="D29" s="138"/>
      <x:c r="E29" s="163"/>
      <x:c r="F29" s="138"/>
      <x:c r="G29" s="138"/>
      <x:c r="H29" s="138"/>
    </x:row>
    <x:row r="30">
      <x:c r="A30" s="138"/>
      <x:c r="B30" s="138"/>
      <x:c r="C30" s="138"/>
      <x:c r="D30" s="138"/>
      <x:c r="E30" s="163"/>
      <x:c r="F30" s="138"/>
      <x:c r="G30" s="138"/>
      <x:c r="H30" s="138"/>
    </x:row>
    <x:row r="31">
      <x:c r="A31" s="138"/>
      <x:c r="B31" s="138"/>
      <x:c r="C31" s="138"/>
      <x:c r="D31" s="138"/>
      <x:c r="E31" s="163"/>
      <x:c r="F31" s="138"/>
      <x:c r="G31" s="138"/>
      <x:c r="H31" s="138"/>
    </x:row>
    <x:row r="32">
      <x:c r="A32" s="138"/>
      <x:c r="B32" s="138"/>
      <x:c r="C32" s="138"/>
      <x:c r="D32" s="138"/>
      <x:c r="E32" s="163"/>
      <x:c r="F32" s="138"/>
      <x:c r="G32" s="138"/>
      <x:c r="H32" s="138"/>
    </x:row>
    <x:row r="33">
      <x:c r="A33" s="138"/>
      <x:c r="B33" s="138"/>
      <x:c r="C33" s="138"/>
      <x:c r="D33" s="138"/>
      <x:c r="E33" s="163"/>
      <x:c r="F33" s="138"/>
      <x:c r="G33" s="138"/>
      <x:c r="H33" s="138"/>
    </x:row>
    <x:row r="34">
      <x:c r="A34" s="138"/>
      <x:c r="B34" s="138"/>
      <x:c r="C34" s="138"/>
      <x:c r="D34" s="138"/>
      <x:c r="E34" s="163"/>
      <x:c r="F34" s="138"/>
      <x:c r="G34" s="138"/>
      <x:c r="H34" s="138"/>
    </x:row>
    <x:row r="35">
      <x:c r="A35" s="138"/>
      <x:c r="B35" s="138"/>
      <x:c r="C35" s="138"/>
      <x:c r="D35" s="138"/>
      <x:c r="E35" s="163"/>
      <x:c r="F35" s="138"/>
      <x:c r="G35" s="138"/>
      <x:c r="H35" s="138"/>
    </x:row>
    <x:row r="36">
      <x:c r="A36" s="138"/>
      <x:c r="B36" s="138"/>
      <x:c r="C36" s="138"/>
      <x:c r="D36" s="138"/>
      <x:c r="E36" s="163"/>
      <x:c r="F36" s="138"/>
      <x:c r="G36" s="138"/>
      <x:c r="H36" s="138"/>
    </x:row>
    <x:row r="37">
      <x:c r="A37" s="138"/>
      <x:c r="B37" s="138"/>
      <x:c r="C37" s="138"/>
      <x:c r="D37" s="138"/>
      <x:c r="E37" s="163"/>
      <x:c r="F37" s="138"/>
      <x:c r="G37" s="138"/>
      <x:c r="H37" s="138"/>
    </x:row>
    <x:row r="38">
      <x:c r="A38" s="138"/>
      <x:c r="B38" s="138"/>
      <x:c r="C38" s="138"/>
      <x:c r="D38" s="138"/>
      <x:c r="E38" s="163"/>
      <x:c r="F38" s="138"/>
      <x:c r="G38" s="138"/>
      <x:c r="H38" s="138"/>
    </x:row>
    <x:row r="39">
      <x:c r="A39" s="138"/>
      <x:c r="B39" s="138"/>
      <x:c r="C39" s="138"/>
      <x:c r="D39" s="138"/>
      <x:c r="E39" s="163"/>
      <x:c r="F39" s="138"/>
      <x:c r="G39" s="138"/>
      <x:c r="H39" s="138"/>
    </x:row>
    <x:row r="40">
      <x:c r="A40" s="138"/>
      <x:c r="B40" s="138"/>
      <x:c r="C40" s="138"/>
      <x:c r="D40" s="138"/>
      <x:c r="E40" s="163"/>
      <x:c r="F40" s="138"/>
      <x:c r="G40" s="138"/>
      <x:c r="H40" s="138"/>
    </x:row>
    <x:row r="41">
      <x:c r="A41" s="138"/>
      <x:c r="B41" s="138"/>
      <x:c r="C41" s="138"/>
      <x:c r="D41" s="138"/>
      <x:c r="E41" s="163"/>
      <x:c r="F41" s="138"/>
      <x:c r="G41" s="138"/>
      <x:c r="H41" s="138"/>
    </x:row>
    <x:row r="42">
      <x:c r="A42" s="138"/>
      <x:c r="B42" s="138"/>
      <x:c r="C42" s="138"/>
      <x:c r="D42" s="138"/>
      <x:c r="E42" s="163"/>
      <x:c r="F42" s="138"/>
      <x:c r="G42" s="138"/>
      <x:c r="H42" s="138"/>
    </x:row>
    <x:row r="43">
      <x:c r="A43" s="138"/>
      <x:c r="B43" s="138"/>
      <x:c r="C43" s="138"/>
      <x:c r="D43" s="138"/>
      <x:c r="E43" s="163"/>
      <x:c r="F43" s="138"/>
      <x:c r="G43" s="138"/>
      <x:c r="H43" s="138"/>
    </x:row>
    <x:row r="44">
      <x:c r="A44" s="138"/>
      <x:c r="B44" s="138"/>
      <x:c r="C44" s="138"/>
      <x:c r="D44" s="138"/>
      <x:c r="E44" s="163"/>
      <x:c r="F44" s="138"/>
      <x:c r="G44" s="138"/>
      <x:c r="H44" s="138"/>
    </x:row>
    <x:row r="45">
      <x:c r="A45" s="138"/>
      <x:c r="B45" s="138"/>
      <x:c r="C45" s="138"/>
      <x:c r="D45" s="138"/>
      <x:c r="E45" s="163"/>
      <x:c r="F45" s="138"/>
      <x:c r="G45" s="138"/>
      <x:c r="H45" s="138"/>
    </x:row>
    <x:row r="46">
      <x:c r="A46" s="138"/>
      <x:c r="B46" s="138"/>
      <x:c r="C46" s="138"/>
      <x:c r="D46" s="138"/>
      <x:c r="E46" s="163"/>
      <x:c r="F46" s="138"/>
      <x:c r="G46" s="138"/>
      <x:c r="H46" s="138"/>
    </x:row>
    <x:row r="47">
      <x:c r="A47" s="138"/>
      <x:c r="B47" s="138"/>
      <x:c r="C47" s="138"/>
      <x:c r="D47" s="138"/>
      <x:c r="E47" s="163"/>
      <x:c r="F47" s="138"/>
      <x:c r="G47" s="138"/>
      <x:c r="H47" s="138"/>
    </x:row>
    <x:row r="48">
      <x:c r="A48" s="138"/>
      <x:c r="B48" s="138"/>
      <x:c r="C48" s="138"/>
      <x:c r="D48" s="138"/>
      <x:c r="E48" s="163"/>
      <x:c r="F48" s="138"/>
      <x:c r="G48" s="138"/>
      <x:c r="H48" s="138"/>
    </x:row>
    <x:row r="49">
      <x:c r="A49" s="138"/>
      <x:c r="B49" s="138"/>
      <x:c r="C49" s="138"/>
      <x:c r="D49" s="138"/>
      <x:c r="E49" s="163"/>
      <x:c r="F49" s="138"/>
      <x:c r="G49" s="138"/>
      <x:c r="H49" s="138"/>
    </x:row>
    <x:row r="50">
      <x:c r="A50" s="138"/>
      <x:c r="B50" s="138"/>
      <x:c r="C50" s="138"/>
      <x:c r="D50" s="138"/>
      <x:c r="E50" s="163"/>
      <x:c r="F50" s="138"/>
      <x:c r="G50" s="138"/>
      <x:c r="H50" s="138"/>
    </x:row>
    <x:row r="51">
      <x:c r="A51" s="138"/>
      <x:c r="B51" s="138"/>
      <x:c r="C51" s="138"/>
      <x:c r="D51" s="138"/>
      <x:c r="E51" s="163"/>
      <x:c r="F51" s="138"/>
      <x:c r="G51" s="138"/>
      <x:c r="H51" s="138"/>
    </x:row>
    <x:row r="52">
      <x:c r="A52" s="138"/>
      <x:c r="B52" s="138"/>
      <x:c r="C52" s="138"/>
      <x:c r="D52" s="138"/>
      <x:c r="E52" s="163"/>
      <x:c r="F52" s="138"/>
      <x:c r="G52" s="138"/>
      <x:c r="H52" s="138"/>
    </x:row>
    <x:row r="53">
      <x:c r="A53" s="138"/>
      <x:c r="B53" s="138"/>
      <x:c r="C53" s="138"/>
      <x:c r="D53" s="138"/>
      <x:c r="E53" s="163"/>
      <x:c r="F53" s="138"/>
      <x:c r="G53" s="138"/>
      <x:c r="H53" s="138"/>
    </x:row>
    <x:row r="54">
      <x:c r="A54" s="138"/>
      <x:c r="B54" s="138"/>
      <x:c r="C54" s="138"/>
      <x:c r="D54" s="138"/>
      <x:c r="E54" s="163"/>
      <x:c r="F54" s="138"/>
      <x:c r="G54" s="138"/>
      <x:c r="H54" s="138"/>
    </x:row>
  </x:sheetData>
  <x:mergeCells>
    <x:mergeCell ref="A1:H1"/>
    <x:mergeCell ref="A2:H2"/>
  </x:mergeCells>
  <x:pageMargins left="0.7" right="0.7" top="0.75" bottom="0.75" header="0.3" footer="0.3"/>
</x:worksheet>
</file>